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ey\"/>
    </mc:Choice>
  </mc:AlternateContent>
  <xr:revisionPtr revIDLastSave="0" documentId="13_ncr:1_{08F604C0-7C69-4F20-A1B0-4963A39344B6}" xr6:coauthVersionLast="47" xr6:coauthVersionMax="47" xr10:uidLastSave="{00000000-0000-0000-0000-000000000000}"/>
  <bookViews>
    <workbookView xWindow="-108" yWindow="-108" windowWidth="23256" windowHeight="13836" activeTab="1" xr2:uid="{00000000-000D-0000-FFFF-FFFF00000000}"/>
  </bookViews>
  <sheets>
    <sheet name="Summary of Margins" sheetId="8" r:id="rId1"/>
    <sheet name="Gross Margins" sheetId="9" r:id="rId2"/>
    <sheet name="Payable Computation" sheetId="4" r:id="rId3"/>
    <sheet name="Avg Payable days" sheetId="5" r:id="rId4"/>
  </sheets>
  <externalReferences>
    <externalReference r:id="rId5"/>
    <externalReference r:id="rId6"/>
    <externalReference r:id="rId7"/>
  </externalReferences>
  <definedNames>
    <definedName name="__________vv594">[1]Grouping!#REF!</definedName>
    <definedName name="________vv594">[2]Grouping!#REF!</definedName>
    <definedName name="_______vv594">[2]Grouping!#REF!</definedName>
    <definedName name="______vv594">[2]Grouping!#REF!</definedName>
    <definedName name="_____vv594">[2]Grouping!#REF!</definedName>
    <definedName name="____vv594">[2]Grouping!#REF!</definedName>
    <definedName name="___vv594">[2]Grouping!#REF!</definedName>
    <definedName name="__vv594">[3]Grouping!#REF!</definedName>
    <definedName name="_Fill" hidden="1">#REF!</definedName>
    <definedName name="_Key1" hidden="1">#REF!</definedName>
    <definedName name="_Sort" hidden="1">#REF!</definedName>
    <definedName name="_vv594">[2]Grouping!#REF!</definedName>
    <definedName name="aaa">#REF!</definedName>
    <definedName name="abc" hidden="1">#REF!</definedName>
    <definedName name="concurrent">#REF!</definedName>
    <definedName name="Cost_Center">#REF!</definedName>
    <definedName name="csDesignMode">1</definedName>
    <definedName name="Date_of_CD_ROM">#REF!</definedName>
    <definedName name="fl" hidden="1">#REF!</definedName>
    <definedName name="mmm">#REF!</definedName>
    <definedName name="New">#REF!</definedName>
    <definedName name="newco">#REF!</definedName>
    <definedName name="noncomp">#REF!</definedName>
    <definedName name="_xlnm.Print_Area" localSheetId="3">'Avg Payable days'!$A$1:$WZC$24</definedName>
    <definedName name="_xlnm.Print_Area" localSheetId="2">'Payable Computation'!$A$1:$AH$14</definedName>
    <definedName name="_xlnm.Print_Titles" localSheetId="3">'Avg Payable days'!$B:$B</definedName>
    <definedName name="qryAdjustTblFinalDataYEBalances">#REF!</definedName>
    <definedName name="qryClientFinancialsNoAdjustment">#REF!</definedName>
    <definedName name="qrytblFinalDataYEBalances">#REF!</definedName>
    <definedName name="SPWS_WBID">"37351C02-715D-11D3-803D-0020AFFAFC38"</definedName>
    <definedName name="Ticker">""</definedName>
    <definedName name="Tolerance">0.0025</definedName>
    <definedName name="vvv">#REF!</definedName>
    <definedName name="WCA">#REF!</definedName>
    <definedName name="we">#REF!</definedName>
    <definedName name="xx">#REF!</definedName>
    <definedName name="xxx">#REF!</definedName>
    <definedName name="xyz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9" l="1"/>
  <c r="E10" i="9"/>
  <c r="E18" i="9"/>
  <c r="E14" i="9"/>
  <c r="E12" i="9"/>
  <c r="E16" i="9"/>
  <c r="D12" i="9"/>
  <c r="E8" i="9"/>
  <c r="B16" i="9"/>
  <c r="B14" i="9"/>
  <c r="B12" i="9"/>
  <c r="B10" i="9" s="1"/>
  <c r="B18" i="9" s="1"/>
  <c r="B20" i="9" s="1"/>
  <c r="B8" i="9"/>
  <c r="E18" i="8"/>
  <c r="E16" i="8"/>
  <c r="R12" i="4"/>
  <c r="AQ12" i="4" l="1"/>
  <c r="AM12" i="4"/>
  <c r="AI12" i="4"/>
  <c r="AE12" i="4"/>
  <c r="AA12" i="4"/>
  <c r="W12" i="4"/>
  <c r="S12" i="4"/>
  <c r="O12" i="4"/>
  <c r="K12" i="4" l="1"/>
  <c r="G12" i="4"/>
  <c r="C12" i="4"/>
  <c r="I12" i="9" l="1"/>
  <c r="F8" i="9"/>
  <c r="AG12" i="9" l="1"/>
  <c r="AG10" i="9" s="1"/>
  <c r="AG18" i="9" s="1"/>
  <c r="X16" i="9"/>
  <c r="P8" i="9"/>
  <c r="C16" i="9"/>
  <c r="AH8" i="5"/>
  <c r="AE8" i="5"/>
  <c r="AD10" i="9"/>
  <c r="AD18" i="9" s="1"/>
  <c r="AB8" i="5"/>
  <c r="AA14" i="9"/>
  <c r="AA12" i="9"/>
  <c r="AA8" i="9"/>
  <c r="Y8" i="5"/>
  <c r="X14" i="9"/>
  <c r="X12" i="9"/>
  <c r="Y12" i="9"/>
  <c r="X8" i="9"/>
  <c r="V7" i="5"/>
  <c r="V6" i="5"/>
  <c r="AB9" i="4"/>
  <c r="AC9" i="4"/>
  <c r="AB7" i="4"/>
  <c r="U16" i="9"/>
  <c r="U14" i="9"/>
  <c r="U12" i="9"/>
  <c r="U8" i="9"/>
  <c r="R16" i="9"/>
  <c r="R12" i="9"/>
  <c r="R14" i="9"/>
  <c r="R8" i="9"/>
  <c r="S8" i="5"/>
  <c r="V8" i="5" l="1"/>
  <c r="AA10" i="9"/>
  <c r="AA18" i="9" s="1"/>
  <c r="R10" i="9"/>
  <c r="S9" i="5" s="1"/>
  <c r="S10" i="5" s="1"/>
  <c r="X10" i="9"/>
  <c r="U10" i="9"/>
  <c r="P7" i="5"/>
  <c r="X18" i="9" l="1"/>
  <c r="Y9" i="5"/>
  <c r="Y10" i="5" s="1"/>
  <c r="R18" i="9"/>
  <c r="V9" i="5"/>
  <c r="V10" i="5" s="1"/>
  <c r="U18" i="9"/>
  <c r="P6" i="5"/>
  <c r="P8" i="5" s="1"/>
  <c r="X9" i="4"/>
  <c r="X7" i="4"/>
  <c r="O16" i="9" l="1"/>
  <c r="O14" i="9"/>
  <c r="O12" i="9"/>
  <c r="O8" i="9"/>
  <c r="M8" i="5"/>
  <c r="L16" i="9"/>
  <c r="L14" i="9"/>
  <c r="L12" i="9"/>
  <c r="L8" i="9"/>
  <c r="J8" i="5"/>
  <c r="O10" i="9" l="1"/>
  <c r="O18" i="9" s="1"/>
  <c r="L10" i="9"/>
  <c r="L18" i="9" s="1"/>
  <c r="I10" i="9" l="1"/>
  <c r="J9" i="5" s="1"/>
  <c r="J10" i="5" s="1"/>
  <c r="G6" i="5"/>
  <c r="G8" i="5" s="1"/>
  <c r="F14" i="9"/>
  <c r="F16" i="9"/>
  <c r="D6" i="5"/>
  <c r="D8" i="5" s="1"/>
  <c r="D9" i="4"/>
  <c r="D7" i="4"/>
  <c r="C8" i="9"/>
  <c r="C14" i="9"/>
  <c r="D14" i="9"/>
  <c r="C12" i="9"/>
  <c r="D16" i="9"/>
  <c r="AT12" i="4"/>
  <c r="AS12" i="4"/>
  <c r="AF8" i="5"/>
  <c r="AI8" i="5"/>
  <c r="AH9" i="5"/>
  <c r="AH10" i="5" s="1"/>
  <c r="AP12" i="4"/>
  <c r="AO12" i="4"/>
  <c r="AR12" i="4"/>
  <c r="AQ13" i="4" s="1"/>
  <c r="AN12" i="4"/>
  <c r="AM13" i="4" s="1"/>
  <c r="AC8" i="5"/>
  <c r="I12" i="4"/>
  <c r="AL12" i="4"/>
  <c r="AK12" i="4"/>
  <c r="E7" i="4"/>
  <c r="AJ12" i="4"/>
  <c r="AI13" i="4" s="1"/>
  <c r="AF12" i="4"/>
  <c r="AE13" i="4" s="1"/>
  <c r="C10" i="9" l="1"/>
  <c r="C18" i="9" s="1"/>
  <c r="D12" i="4"/>
  <c r="C13" i="4" s="1"/>
  <c r="AS13" i="4"/>
  <c r="AI12" i="5" s="1"/>
  <c r="AI16" i="5" s="1"/>
  <c r="AO13" i="4"/>
  <c r="AF12" i="5" s="1"/>
  <c r="AR13" i="4"/>
  <c r="AH12" i="5" s="1"/>
  <c r="AG17" i="5" s="1"/>
  <c r="I18" i="9"/>
  <c r="AN13" i="4"/>
  <c r="AE12" i="5" s="1"/>
  <c r="AD17" i="5" s="1"/>
  <c r="AJ13" i="4"/>
  <c r="AB12" i="5" s="1"/>
  <c r="F10" i="9"/>
  <c r="AK13" i="4"/>
  <c r="D9" i="5" l="1"/>
  <c r="D10" i="5" s="1"/>
  <c r="C20" i="9"/>
  <c r="AH13" i="5"/>
  <c r="AE16" i="5"/>
  <c r="AE15" i="5"/>
  <c r="AB16" i="5"/>
  <c r="AB15" i="5"/>
  <c r="AH16" i="5"/>
  <c r="AH15" i="5"/>
  <c r="F18" i="9"/>
  <c r="G9" i="5"/>
  <c r="G10" i="5" s="1"/>
  <c r="AI15" i="5"/>
  <c r="AF16" i="5"/>
  <c r="AF15" i="5"/>
  <c r="AC12" i="5"/>
  <c r="AC16" i="5" s="1"/>
  <c r="AH19" i="5" l="1"/>
  <c r="AA17" i="5"/>
  <c r="AC15" i="5"/>
  <c r="Z9" i="4" l="1"/>
  <c r="Z7" i="4"/>
  <c r="Y9" i="4"/>
  <c r="X12" i="4"/>
  <c r="W13" i="4" s="1"/>
  <c r="T12" i="4"/>
  <c r="S13" i="4" s="1"/>
  <c r="P12" i="4"/>
  <c r="L12" i="4"/>
  <c r="K13" i="4" s="1"/>
  <c r="O13" i="4" l="1"/>
  <c r="Z6" i="5"/>
  <c r="Z8" i="5" s="1"/>
  <c r="W6" i="5"/>
  <c r="W7" i="5"/>
  <c r="E6" i="5"/>
  <c r="M9" i="5"/>
  <c r="M10" i="5" s="1"/>
  <c r="P9" i="5"/>
  <c r="P10" i="5" s="1"/>
  <c r="AB9" i="5"/>
  <c r="AB10" i="5" s="1"/>
  <c r="AB13" i="5" s="1"/>
  <c r="AE9" i="5"/>
  <c r="AE10" i="5" s="1"/>
  <c r="AE13" i="5" s="1"/>
  <c r="AC7" i="4"/>
  <c r="AE19" i="5" l="1"/>
  <c r="AB19" i="5"/>
  <c r="T8" i="5"/>
  <c r="H12" i="4"/>
  <c r="AG7" i="4"/>
  <c r="AH7" i="4"/>
  <c r="AG9" i="4"/>
  <c r="AH9" i="4"/>
  <c r="F7" i="4"/>
  <c r="Y7" i="4"/>
  <c r="H13" i="4" l="1"/>
  <c r="G13" i="4"/>
  <c r="AG20" i="9"/>
  <c r="D6" i="8" s="1"/>
  <c r="AD20" i="9"/>
  <c r="D7" i="8" s="1"/>
  <c r="AA20" i="9"/>
  <c r="D5" i="8" s="1"/>
  <c r="X20" i="9"/>
  <c r="D11" i="8" s="1"/>
  <c r="U20" i="9"/>
  <c r="D9" i="8" s="1"/>
  <c r="R20" i="9"/>
  <c r="D8" i="8" s="1"/>
  <c r="O20" i="9"/>
  <c r="D14" i="8" s="1"/>
  <c r="L20" i="9"/>
  <c r="D12" i="8" s="1"/>
  <c r="I20" i="9"/>
  <c r="D10" i="8" s="1"/>
  <c r="F20" i="9"/>
  <c r="D4" i="8" s="1"/>
  <c r="D13" i="8"/>
  <c r="AH16" i="9"/>
  <c r="AB16" i="9"/>
  <c r="Y16" i="9"/>
  <c r="V16" i="9"/>
  <c r="S16" i="9"/>
  <c r="P16" i="9"/>
  <c r="M16" i="9"/>
  <c r="J16" i="9"/>
  <c r="AH14" i="9"/>
  <c r="AB14" i="9"/>
  <c r="Y14" i="9"/>
  <c r="V14" i="9"/>
  <c r="S14" i="9"/>
  <c r="P14" i="9"/>
  <c r="M14" i="9"/>
  <c r="J14" i="9"/>
  <c r="AH12" i="9"/>
  <c r="AB12" i="9"/>
  <c r="V12" i="9"/>
  <c r="S12" i="9"/>
  <c r="P12" i="9"/>
  <c r="M12" i="9"/>
  <c r="J12" i="9"/>
  <c r="D10" i="9"/>
  <c r="AE10" i="9"/>
  <c r="AF9" i="5" s="1"/>
  <c r="AF10" i="5" s="1"/>
  <c r="AF13" i="5" s="1"/>
  <c r="AD20" i="5" s="1"/>
  <c r="AH8" i="9"/>
  <c r="AB8" i="9"/>
  <c r="Y8" i="9"/>
  <c r="V8" i="9"/>
  <c r="S8" i="9"/>
  <c r="M8" i="9"/>
  <c r="J8" i="9"/>
  <c r="G8" i="9"/>
  <c r="D8" i="9"/>
  <c r="AB10" i="9" l="1"/>
  <c r="AC9" i="5" s="1"/>
  <c r="AC10" i="5" s="1"/>
  <c r="AC13" i="5" s="1"/>
  <c r="M10" i="9"/>
  <c r="N9" i="5" s="1"/>
  <c r="Y10" i="9"/>
  <c r="Z9" i="5" s="1"/>
  <c r="Z10" i="5" s="1"/>
  <c r="P10" i="9"/>
  <c r="Q9" i="5" s="1"/>
  <c r="AH10" i="9"/>
  <c r="AI9" i="5" s="1"/>
  <c r="AI10" i="5" s="1"/>
  <c r="AI13" i="5" s="1"/>
  <c r="V10" i="9"/>
  <c r="V18" i="9" s="1"/>
  <c r="T22" i="9" s="1"/>
  <c r="D18" i="9"/>
  <c r="B22" i="9" s="1"/>
  <c r="E9" i="5"/>
  <c r="E10" i="5" s="1"/>
  <c r="AF19" i="5"/>
  <c r="J10" i="9"/>
  <c r="K9" i="5" s="1"/>
  <c r="AE18" i="9"/>
  <c r="S10" i="9"/>
  <c r="T9" i="5" s="1"/>
  <c r="T10" i="5" s="1"/>
  <c r="AI19" i="5" l="1"/>
  <c r="AG20" i="5"/>
  <c r="AC19" i="5"/>
  <c r="AA20" i="5"/>
  <c r="AE20" i="9"/>
  <c r="E7" i="8" s="1"/>
  <c r="AC22" i="9"/>
  <c r="F7" i="8" s="1"/>
  <c r="F16" i="8" s="1"/>
  <c r="D20" i="9"/>
  <c r="E13" i="8" s="1"/>
  <c r="M18" i="9"/>
  <c r="K22" i="9" s="1"/>
  <c r="AB18" i="9"/>
  <c r="AH18" i="9"/>
  <c r="AF22" i="9" s="1"/>
  <c r="Y18" i="9"/>
  <c r="W9" i="5"/>
  <c r="P18" i="9"/>
  <c r="F9" i="8"/>
  <c r="V20" i="9"/>
  <c r="E9" i="8" s="1"/>
  <c r="S18" i="9"/>
  <c r="Q22" i="9" s="1"/>
  <c r="J18" i="9"/>
  <c r="H22" i="9" s="1"/>
  <c r="N22" i="9" l="1"/>
  <c r="F14" i="8" s="1"/>
  <c r="S20" i="9"/>
  <c r="E8" i="8" s="1"/>
  <c r="F8" i="8"/>
  <c r="Y20" i="9"/>
  <c r="E11" i="8" s="1"/>
  <c r="W22" i="9"/>
  <c r="F11" i="8" s="1"/>
  <c r="F18" i="8" s="1"/>
  <c r="AB20" i="9"/>
  <c r="E5" i="8" s="1"/>
  <c r="Z22" i="9"/>
  <c r="F5" i="8" s="1"/>
  <c r="AH20" i="9"/>
  <c r="E6" i="8" s="1"/>
  <c r="F6" i="8"/>
  <c r="M20" i="9"/>
  <c r="E12" i="8" s="1"/>
  <c r="F12" i="8"/>
  <c r="P20" i="9"/>
  <c r="E14" i="8" s="1"/>
  <c r="F10" i="8"/>
  <c r="F13" i="8"/>
  <c r="J20" i="9"/>
  <c r="E10" i="8" s="1"/>
  <c r="Q6" i="5"/>
  <c r="Q8" i="5" s="1"/>
  <c r="N6" i="5"/>
  <c r="N8" i="5" s="1"/>
  <c r="Q7" i="4"/>
  <c r="Q12" i="4" s="1"/>
  <c r="Q13" i="4" s="1"/>
  <c r="K6" i="5"/>
  <c r="K8" i="5" s="1"/>
  <c r="M8" i="4"/>
  <c r="M9" i="4"/>
  <c r="M7" i="4"/>
  <c r="P13" i="4" l="1"/>
  <c r="M12" i="4"/>
  <c r="L13" i="4" s="1"/>
  <c r="J13" i="5" s="1"/>
  <c r="K10" i="5"/>
  <c r="N10" i="5"/>
  <c r="J19" i="5" l="1"/>
  <c r="J12" i="5"/>
  <c r="M13" i="5"/>
  <c r="M12" i="5"/>
  <c r="Q10" i="5"/>
  <c r="M19" i="5" l="1"/>
  <c r="J16" i="5"/>
  <c r="J15" i="5"/>
  <c r="M16" i="5"/>
  <c r="M15" i="5"/>
  <c r="AB12" i="4"/>
  <c r="AA13" i="4" s="1"/>
  <c r="U9" i="4" l="1"/>
  <c r="F12" i="4" l="1"/>
  <c r="AH12" i="4"/>
  <c r="AD12" i="4"/>
  <c r="J12" i="4"/>
  <c r="I13" i="4" l="1"/>
  <c r="Y12" i="4"/>
  <c r="X13" i="4" s="1"/>
  <c r="U12" i="4"/>
  <c r="N7" i="4"/>
  <c r="N8" i="4"/>
  <c r="N9" i="4"/>
  <c r="H8" i="5"/>
  <c r="E12" i="4"/>
  <c r="W8" i="5"/>
  <c r="AC12" i="4"/>
  <c r="E13" i="4" l="1"/>
  <c r="D13" i="4"/>
  <c r="P12" i="5"/>
  <c r="P13" i="5"/>
  <c r="N12" i="5"/>
  <c r="L17" i="5" s="1"/>
  <c r="T13" i="4"/>
  <c r="AC13" i="4"/>
  <c r="AB13" i="4"/>
  <c r="H12" i="5"/>
  <c r="N12" i="4"/>
  <c r="E8" i="5"/>
  <c r="Z12" i="4"/>
  <c r="AG12" i="4"/>
  <c r="W10" i="5"/>
  <c r="P19" i="5" l="1"/>
  <c r="E13" i="5"/>
  <c r="E19" i="5" s="1"/>
  <c r="E12" i="5"/>
  <c r="D12" i="5"/>
  <c r="D13" i="5"/>
  <c r="V12" i="5"/>
  <c r="V13" i="5"/>
  <c r="P16" i="5"/>
  <c r="P15" i="5"/>
  <c r="S12" i="5"/>
  <c r="S13" i="5"/>
  <c r="G13" i="5"/>
  <c r="G12" i="5"/>
  <c r="F17" i="5" s="1"/>
  <c r="AG13" i="4"/>
  <c r="Z12" i="5" s="1"/>
  <c r="AF13" i="4"/>
  <c r="M13" i="4"/>
  <c r="K12" i="5" s="1"/>
  <c r="I17" i="5" s="1"/>
  <c r="Y13" i="4"/>
  <c r="N13" i="5"/>
  <c r="C20" i="5" l="1"/>
  <c r="V19" i="5"/>
  <c r="D16" i="5"/>
  <c r="C17" i="5"/>
  <c r="N19" i="5"/>
  <c r="L20" i="5"/>
  <c r="E15" i="5"/>
  <c r="E16" i="5"/>
  <c r="G19" i="5"/>
  <c r="S19" i="5"/>
  <c r="D19" i="5"/>
  <c r="D15" i="5"/>
  <c r="Y12" i="5"/>
  <c r="X17" i="5" s="1"/>
  <c r="Y13" i="5"/>
  <c r="V15" i="5"/>
  <c r="V16" i="5"/>
  <c r="S16" i="5"/>
  <c r="S15" i="5"/>
  <c r="G15" i="5"/>
  <c r="G16" i="5"/>
  <c r="Z16" i="5"/>
  <c r="Z15" i="5"/>
  <c r="N16" i="5"/>
  <c r="K16" i="5"/>
  <c r="K13" i="5"/>
  <c r="N15" i="5"/>
  <c r="Q12" i="5"/>
  <c r="O17" i="5" s="1"/>
  <c r="Q13" i="5"/>
  <c r="O20" i="5" s="1"/>
  <c r="Y19" i="5" l="1"/>
  <c r="K19" i="5"/>
  <c r="I20" i="5"/>
  <c r="Q15" i="5"/>
  <c r="Y16" i="5"/>
  <c r="Y15" i="5"/>
  <c r="Q19" i="5"/>
  <c r="K15" i="5"/>
  <c r="Q16" i="5"/>
  <c r="V8" i="4" l="1"/>
  <c r="V9" i="4"/>
  <c r="V7" i="4"/>
  <c r="Z13" i="5" l="1"/>
  <c r="X20" i="5" s="1"/>
  <c r="V12" i="4"/>
  <c r="Z19" i="5" l="1"/>
  <c r="U13" i="4"/>
  <c r="T13" i="5" s="1"/>
  <c r="R20" i="5" s="1"/>
  <c r="T19" i="5" l="1"/>
  <c r="T12" i="5"/>
  <c r="R17" i="5" s="1"/>
  <c r="C18" i="5" s="1"/>
  <c r="T16" i="5" l="1"/>
  <c r="T15" i="5"/>
  <c r="W12" i="5"/>
  <c r="W13" i="5"/>
  <c r="U20" i="5" s="1"/>
  <c r="W15" i="5" l="1"/>
  <c r="W19" i="5"/>
  <c r="W16" i="5"/>
  <c r="H16" i="5" l="1"/>
  <c r="H15" i="5"/>
  <c r="G10" i="9" l="1"/>
  <c r="H9" i="5" s="1"/>
  <c r="H10" i="5" s="1"/>
  <c r="H13" i="5" s="1"/>
  <c r="F20" i="5" s="1"/>
  <c r="C21" i="5" s="1"/>
  <c r="G18" i="9" l="1"/>
  <c r="E22" i="9" s="1"/>
  <c r="H19" i="5"/>
  <c r="D21" i="5"/>
  <c r="G20" i="9" l="1"/>
  <c r="E4" i="8" s="1"/>
  <c r="F4" i="8"/>
  <c r="F1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TP HUB</author>
  </authors>
  <commentList>
    <comment ref="C12" authorId="0" shapeId="0" xr:uid="{98CC8252-BFEA-4DCD-A71D-A3B32C2D1833}">
      <text>
        <r>
          <rPr>
            <b/>
            <sz val="9"/>
            <color indexed="81"/>
            <rFont val="Tahoma"/>
            <family val="2"/>
          </rPr>
          <t>TP HUB:</t>
        </r>
        <r>
          <rPr>
            <sz val="9"/>
            <color indexed="81"/>
            <rFont val="Tahoma"/>
            <family val="2"/>
          </rPr>
          <t xml:space="preserve">
rounded off to 1000</t>
        </r>
      </text>
    </comment>
    <comment ref="D12" authorId="0" shapeId="0" xr:uid="{E5FADC5B-B34C-43D4-8BCF-7F4161020FB0}">
      <text>
        <r>
          <rPr>
            <b/>
            <sz val="9"/>
            <color indexed="81"/>
            <rFont val="Tahoma"/>
            <family val="2"/>
          </rPr>
          <t>TP HUB:</t>
        </r>
        <r>
          <rPr>
            <sz val="9"/>
            <color indexed="81"/>
            <rFont val="Tahoma"/>
            <family val="2"/>
          </rPr>
          <t xml:space="preserve">
rounded off to 1000</t>
        </r>
      </text>
    </comment>
    <comment ref="X12" authorId="0" shapeId="0" xr:uid="{64E91783-D4A2-4CC0-B88A-B7DD38CC7E7A}">
      <text>
        <r>
          <rPr>
            <b/>
            <sz val="9"/>
            <color indexed="81"/>
            <rFont val="Tahoma"/>
            <family val="2"/>
          </rPr>
          <t>TP HUB:</t>
        </r>
        <r>
          <rPr>
            <sz val="9"/>
            <color indexed="81"/>
            <rFont val="Tahoma"/>
            <family val="2"/>
          </rPr>
          <t xml:space="preserve">
Inventory considered from stock in trade value (Page 102 of AR) and not from face of BS</t>
        </r>
      </text>
    </comment>
    <comment ref="Y12" authorId="0" shapeId="0" xr:uid="{74DA156D-4D0B-4565-912E-924F4823EFBA}">
      <text>
        <r>
          <rPr>
            <b/>
            <sz val="9"/>
            <color indexed="81"/>
            <rFont val="Tahoma"/>
            <family val="2"/>
          </rPr>
          <t>TP HUB:</t>
        </r>
        <r>
          <rPr>
            <sz val="9"/>
            <color indexed="81"/>
            <rFont val="Tahoma"/>
            <family val="2"/>
          </rPr>
          <t xml:space="preserve">
Inventory considered from stock in trade value (Page 87 of AR) and not from face of BS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TP HUB</author>
    <author>TP Hub</author>
  </authors>
  <commentList>
    <comment ref="T7" authorId="0" shapeId="0" xr:uid="{4C99A6E7-B2B7-43EC-83E7-FB4CD78B2BBD}">
      <text>
        <r>
          <rPr>
            <b/>
            <sz val="9"/>
            <color indexed="81"/>
            <rFont val="Tahoma"/>
            <family val="2"/>
          </rPr>
          <t>TP HUB:</t>
        </r>
        <r>
          <rPr>
            <sz val="9"/>
            <color indexed="81"/>
            <rFont val="Tahoma"/>
            <family val="2"/>
          </rPr>
          <t xml:space="preserve">
Trade payable + Contract Liability</t>
        </r>
      </text>
    </comment>
    <comment ref="U7" authorId="1" shapeId="0" xr:uid="{D87378F0-BF96-494C-951F-69858F1FA969}">
      <text>
        <r>
          <rPr>
            <b/>
            <sz val="9"/>
            <color indexed="81"/>
            <rFont val="Tahoma"/>
            <family val="2"/>
          </rPr>
          <t>Trade payable + Contract Liability</t>
        </r>
      </text>
    </comment>
    <comment ref="X9" authorId="0" shapeId="0" xr:uid="{2E7B0283-53DA-4DE8-92C5-69D76AB56DAA}">
      <text>
        <r>
          <rPr>
            <b/>
            <sz val="9"/>
            <color indexed="81"/>
            <rFont val="Tahoma"/>
            <family val="2"/>
          </rPr>
          <t>TP HUB:</t>
        </r>
        <r>
          <rPr>
            <sz val="9"/>
            <color indexed="81"/>
            <rFont val="Tahoma"/>
            <family val="2"/>
          </rPr>
          <t xml:space="preserve">
Unearned revenue + Advance from customer.</t>
        </r>
      </text>
    </comment>
    <comment ref="Y9" authorId="0" shapeId="0" xr:uid="{8432B0CA-9355-473C-B47C-8A7D228FF9D1}">
      <text>
        <r>
          <rPr>
            <b/>
            <sz val="9"/>
            <color indexed="81"/>
            <rFont val="Tahoma"/>
            <family val="2"/>
          </rPr>
          <t>TP HUB:</t>
        </r>
        <r>
          <rPr>
            <sz val="9"/>
            <color indexed="81"/>
            <rFont val="Tahoma"/>
            <family val="2"/>
          </rPr>
          <t xml:space="preserve">
Unearned revenue + Advance from customer.</t>
        </r>
      </text>
    </comment>
    <comment ref="Z9" authorId="1" shapeId="0" xr:uid="{BB66936D-632B-450B-B654-7E4F4B8CECE4}">
      <text>
        <r>
          <rPr>
            <b/>
            <sz val="9"/>
            <color indexed="81"/>
            <rFont val="Tahoma"/>
            <family val="2"/>
          </rPr>
          <t>Unearned revenue + Advance from customer.</t>
        </r>
      </text>
    </comment>
  </commentList>
</comments>
</file>

<file path=xl/sharedStrings.xml><?xml version="1.0" encoding="utf-8"?>
<sst xmlns="http://schemas.openxmlformats.org/spreadsheetml/2006/main" count="334" uniqueCount="74">
  <si>
    <t xml:space="preserve">Annexure 5 - Unadjusted margin summary of comparable companies - Software Distribution </t>
  </si>
  <si>
    <t>S.No.</t>
  </si>
  <si>
    <t>Name of the company</t>
  </si>
  <si>
    <t>Year wise Gross profits/ sales (%)</t>
  </si>
  <si>
    <t>Weighted average of Gross profits on sales (%)</t>
  </si>
  <si>
    <t>FY 2023-24</t>
  </si>
  <si>
    <t>FY 2022-23</t>
  </si>
  <si>
    <t>Datasoft Network Solutions  Private Limited</t>
  </si>
  <si>
    <t>Avance Technologies Limited</t>
  </si>
  <si>
    <t>Perfect Computer Solutions  Private Limited</t>
  </si>
  <si>
    <t>Iris Global Services  Private Limited</t>
  </si>
  <si>
    <t>Sonata Information Technology  Limited</t>
  </si>
  <si>
    <t>Galaxy Office Automation  Private Limited</t>
  </si>
  <si>
    <t>Softcell Technologies Global  Private Limited</t>
  </si>
  <si>
    <t>Team Computers  Private Limited</t>
  </si>
  <si>
    <t>Informatics Technologies  Private Limited</t>
  </si>
  <si>
    <t>NTT India  Private Limited</t>
  </si>
  <si>
    <t>Astute Systems Private Limited</t>
  </si>
  <si>
    <t>Arm's Length Range</t>
  </si>
  <si>
    <t>Data Place</t>
  </si>
  <si>
    <t>GP/Sales (%)</t>
  </si>
  <si>
    <t>35th Percentile</t>
  </si>
  <si>
    <t xml:space="preserve">Median </t>
  </si>
  <si>
    <t>65th Percentile</t>
  </si>
  <si>
    <t>NA denotes Not Available</t>
  </si>
  <si>
    <t xml:space="preserve">Software Distribution - RPM - Detailed computation </t>
  </si>
  <si>
    <t>RPM Analysis of Comparable Companies</t>
  </si>
  <si>
    <t>Astute Systems  Private Limited</t>
  </si>
  <si>
    <t>Galaxy Office Automation Private Limited</t>
  </si>
  <si>
    <t>Informatics Technologies Private Limited</t>
  </si>
  <si>
    <t>NTT India Private Limited</t>
  </si>
  <si>
    <t>Sonata Information Technology Limited</t>
  </si>
  <si>
    <t>Iris Global Services Private Limited</t>
  </si>
  <si>
    <t>Perfect Computer Solutions Private Limited</t>
  </si>
  <si>
    <t>Sales</t>
  </si>
  <si>
    <t>Cost of goods sold</t>
  </si>
  <si>
    <t xml:space="preserve">      - Opening Stock</t>
  </si>
  <si>
    <t xml:space="preserve">      - Purchases</t>
  </si>
  <si>
    <t xml:space="preserve">      - Closing Stock</t>
  </si>
  <si>
    <t>Gross Profit</t>
  </si>
  <si>
    <t>Gross Margin</t>
  </si>
  <si>
    <t>Weighted Average</t>
  </si>
  <si>
    <t>Payables Computation</t>
  </si>
  <si>
    <t>NA</t>
  </si>
  <si>
    <t>Particulars</t>
  </si>
  <si>
    <t>Datasoft Network Solutions Private Limited</t>
  </si>
  <si>
    <t>Softcell Technologies Global Private Limited</t>
  </si>
  <si>
    <t>Team Computers Private Limited</t>
  </si>
  <si>
    <t>Trade payables</t>
  </si>
  <si>
    <t>Trade Advances</t>
  </si>
  <si>
    <t>Advance from customers/Unearned Revenue/Advance Billing</t>
  </si>
  <si>
    <t>Other Payables</t>
  </si>
  <si>
    <t>Payables</t>
  </si>
  <si>
    <t>Average payables</t>
  </si>
  <si>
    <t>NA denotes Not available</t>
  </si>
  <si>
    <t>Payables considered comparable for the transfer pricing analysis of XYZ India Private Limited</t>
  </si>
  <si>
    <t>Total Cost</t>
  </si>
  <si>
    <t>Total operating Cost</t>
  </si>
  <si>
    <t>Operating Cost/ Total cost</t>
  </si>
  <si>
    <t>Cost of Goods Sold ("COGS")</t>
  </si>
  <si>
    <t>COGS/Total Cost</t>
  </si>
  <si>
    <t>Average payables for comparable companies w.r.t. Operating Cost</t>
  </si>
  <si>
    <t>Average payables for comparable companies w.r.t. COGS</t>
  </si>
  <si>
    <t>Payables as a percentage cost (Comparables)</t>
  </si>
  <si>
    <t>Average payable days (Comparables)</t>
  </si>
  <si>
    <t>Weighted average</t>
  </si>
  <si>
    <t>Arithmetic Mean w.r.t. operating cost</t>
  </si>
  <si>
    <t>Arithmetic Mean w.r.t COGS</t>
  </si>
  <si>
    <t>FY 2025</t>
  </si>
  <si>
    <t>FY 2024</t>
  </si>
  <si>
    <t>FY 2023</t>
  </si>
  <si>
    <t>FY 2022</t>
  </si>
  <si>
    <t>Note 1: Weighted average of the margin for FY 2024-25, FY 2023-24 and FY 2022-23 has been computed using sales of the respective years being used as weights.</t>
  </si>
  <si>
    <t>FY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</si>
</sst>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0.00_);[Red]\(0.00\)"/>
    <numFmt numFmtId="168" formatCode="_ * #,##0_ ;_ * \-#,##0_ ;_ * &quot;-&quot;??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EYInterstate Light"/>
    </font>
    <font>
      <b/>
      <sz val="10"/>
      <name val="EYInterstate Light"/>
    </font>
    <font>
      <sz val="12"/>
      <name val="Times New Roman"/>
      <family val="1"/>
    </font>
    <font>
      <sz val="10"/>
      <color indexed="23"/>
      <name val="EYInterstate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EYInterstate"/>
    </font>
    <font>
      <b/>
      <sz val="20"/>
      <color rgb="FF808080"/>
      <name val="EYInterstate Light"/>
    </font>
    <font>
      <b/>
      <sz val="9"/>
      <name val="Arial"/>
      <family val="2"/>
    </font>
    <font>
      <b/>
      <sz val="9"/>
      <color theme="0"/>
      <name val="EYInterstate"/>
    </font>
    <font>
      <sz val="9"/>
      <color rgb="FF000000"/>
      <name val="EYInterstate Light"/>
    </font>
    <font>
      <sz val="9"/>
      <name val="EYInterstate"/>
    </font>
    <font>
      <sz val="10"/>
      <color rgb="FF000000"/>
      <name val="EYInterstate Light"/>
    </font>
    <font>
      <b/>
      <sz val="10"/>
      <color theme="0"/>
      <name val="EYInterstate"/>
    </font>
    <font>
      <b/>
      <sz val="10"/>
      <color rgb="FF000000"/>
      <name val="EYInterstate Light"/>
    </font>
    <font>
      <b/>
      <sz val="10"/>
      <color rgb="FF000000"/>
      <name val="EYInterstate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rgb="FF646464"/>
        <bgColor rgb="FF6464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indexed="64"/>
      </right>
      <top style="medium">
        <color rgb="FF808080"/>
      </top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indexed="64"/>
      </right>
      <top style="medium">
        <color rgb="FF808080"/>
      </top>
      <bottom style="medium">
        <color rgb="FF808080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9" fontId="5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63">
    <xf numFmtId="0" fontId="0" fillId="0" borderId="0" xfId="0"/>
    <xf numFmtId="0" fontId="3" fillId="3" borderId="0" xfId="0" applyFont="1" applyFill="1" applyAlignment="1">
      <alignment horizontal="left" vertical="top"/>
    </xf>
    <xf numFmtId="0" fontId="3" fillId="0" borderId="0" xfId="8" applyFont="1"/>
    <xf numFmtId="0" fontId="4" fillId="0" borderId="0" xfId="9" applyFont="1" applyAlignment="1">
      <alignment horizontal="left" vertical="center" wrapText="1"/>
    </xf>
    <xf numFmtId="10" fontId="3" fillId="0" borderId="0" xfId="2" applyNumberFormat="1" applyFont="1"/>
    <xf numFmtId="0" fontId="3" fillId="0" borderId="0" xfId="13" applyFont="1" applyAlignment="1">
      <alignment vertical="center"/>
    </xf>
    <xf numFmtId="0" fontId="3" fillId="0" borderId="0" xfId="13" applyFont="1" applyAlignment="1">
      <alignment horizontal="right" vertical="center"/>
    </xf>
    <xf numFmtId="0" fontId="3" fillId="0" borderId="0" xfId="13" applyFont="1" applyAlignment="1">
      <alignment horizontal="left" vertical="center"/>
    </xf>
    <xf numFmtId="3" fontId="3" fillId="0" borderId="0" xfId="8" applyNumberFormat="1" applyFont="1"/>
    <xf numFmtId="1" fontId="3" fillId="0" borderId="0" xfId="2" applyNumberFormat="1" applyFont="1"/>
    <xf numFmtId="0" fontId="9" fillId="0" borderId="0" xfId="13" applyFont="1" applyAlignment="1">
      <alignment vertical="center"/>
    </xf>
    <xf numFmtId="10" fontId="4" fillId="0" borderId="0" xfId="2" applyNumberFormat="1" applyFont="1" applyFill="1" applyBorder="1" applyAlignment="1">
      <alignment horizontal="left" vertical="center" wrapText="1"/>
    </xf>
    <xf numFmtId="0" fontId="11" fillId="0" borderId="0" xfId="13" applyFont="1"/>
    <xf numFmtId="0" fontId="12" fillId="4" borderId="4" xfId="13" applyFont="1" applyFill="1" applyBorder="1" applyAlignment="1">
      <alignment horizontal="center" vertical="center" wrapText="1"/>
    </xf>
    <xf numFmtId="0" fontId="12" fillId="4" borderId="4" xfId="13" applyFont="1" applyFill="1" applyBorder="1" applyAlignment="1">
      <alignment horizontal="center" vertical="center"/>
    </xf>
    <xf numFmtId="0" fontId="13" fillId="0" borderId="4" xfId="13" applyFont="1" applyBorder="1" applyAlignment="1">
      <alignment horizontal="center" vertical="center"/>
    </xf>
    <xf numFmtId="0" fontId="11" fillId="0" borderId="0" xfId="13" applyFont="1" applyAlignment="1">
      <alignment vertical="center"/>
    </xf>
    <xf numFmtId="0" fontId="14" fillId="0" borderId="4" xfId="5" applyFont="1" applyBorder="1" applyAlignment="1">
      <alignment horizontal="center" vertical="center" wrapText="1"/>
    </xf>
    <xf numFmtId="10" fontId="14" fillId="0" borderId="4" xfId="5" applyNumberFormat="1" applyFont="1" applyBorder="1" applyAlignment="1">
      <alignment horizontal="center" vertical="center" wrapText="1"/>
    </xf>
    <xf numFmtId="1" fontId="14" fillId="0" borderId="4" xfId="5" applyNumberFormat="1" applyFont="1" applyBorder="1" applyAlignment="1">
      <alignment horizontal="center" vertical="center"/>
    </xf>
    <xf numFmtId="0" fontId="3" fillId="3" borderId="0" xfId="13" applyFont="1" applyFill="1"/>
    <xf numFmtId="0" fontId="4" fillId="3" borderId="0" xfId="13" applyFont="1" applyFill="1" applyAlignment="1">
      <alignment vertical="top" wrapText="1"/>
    </xf>
    <xf numFmtId="10" fontId="4" fillId="3" borderId="0" xfId="13" applyNumberFormat="1" applyFont="1" applyFill="1" applyAlignment="1">
      <alignment horizontal="right" vertical="top"/>
    </xf>
    <xf numFmtId="0" fontId="15" fillId="3" borderId="0" xfId="13" applyFont="1" applyFill="1" applyAlignment="1">
      <alignment horizontal="left" vertical="top"/>
    </xf>
    <xf numFmtId="0" fontId="15" fillId="3" borderId="0" xfId="13" applyFont="1" applyFill="1" applyAlignment="1">
      <alignment horizontal="left" vertical="top" wrapText="1"/>
    </xf>
    <xf numFmtId="0" fontId="15" fillId="3" borderId="0" xfId="13" applyFont="1" applyFill="1" applyAlignment="1">
      <alignment vertical="top"/>
    </xf>
    <xf numFmtId="0" fontId="3" fillId="0" borderId="0" xfId="13" applyFont="1"/>
    <xf numFmtId="0" fontId="3" fillId="2" borderId="0" xfId="13" applyFont="1" applyFill="1"/>
    <xf numFmtId="0" fontId="10" fillId="0" borderId="0" xfId="13" applyFont="1" applyAlignment="1">
      <alignment wrapText="1"/>
    </xf>
    <xf numFmtId="0" fontId="6" fillId="0" borderId="0" xfId="13" applyFont="1" applyAlignment="1">
      <alignment wrapText="1"/>
    </xf>
    <xf numFmtId="0" fontId="11" fillId="0" borderId="0" xfId="13" applyFont="1" applyAlignment="1">
      <alignment wrapText="1"/>
    </xf>
    <xf numFmtId="0" fontId="16" fillId="4" borderId="4" xfId="13" applyFont="1" applyFill="1" applyBorder="1" applyAlignment="1">
      <alignment horizontal="center" vertical="center"/>
    </xf>
    <xf numFmtId="0" fontId="3" fillId="0" borderId="4" xfId="13" applyFont="1" applyBorder="1"/>
    <xf numFmtId="0" fontId="3" fillId="0" borderId="4" xfId="13" applyFont="1" applyBorder="1" applyAlignment="1">
      <alignment horizontal="center"/>
    </xf>
    <xf numFmtId="0" fontId="3" fillId="0" borderId="4" xfId="13" applyFont="1" applyBorder="1" applyAlignment="1">
      <alignment horizontal="right"/>
    </xf>
    <xf numFmtId="166" fontId="3" fillId="0" borderId="4" xfId="21" applyNumberFormat="1" applyFont="1" applyBorder="1" applyAlignment="1">
      <alignment horizontal="center" vertical="center"/>
    </xf>
    <xf numFmtId="0" fontId="3" fillId="0" borderId="4" xfId="13" applyFont="1" applyBorder="1" applyAlignment="1">
      <alignment horizontal="center" vertical="center"/>
    </xf>
    <xf numFmtId="0" fontId="17" fillId="0" borderId="4" xfId="13" applyFont="1" applyBorder="1"/>
    <xf numFmtId="166" fontId="15" fillId="0" borderId="4" xfId="21" applyNumberFormat="1" applyFont="1" applyFill="1" applyBorder="1" applyAlignment="1">
      <alignment horizontal="center" vertical="center"/>
    </xf>
    <xf numFmtId="166" fontId="17" fillId="0" borderId="4" xfId="13" applyNumberFormat="1" applyFont="1" applyBorder="1"/>
    <xf numFmtId="166" fontId="17" fillId="0" borderId="4" xfId="13" applyNumberFormat="1" applyFont="1" applyBorder="1" applyAlignment="1">
      <alignment horizontal="center" vertical="center"/>
    </xf>
    <xf numFmtId="168" fontId="15" fillId="0" borderId="4" xfId="21" applyNumberFormat="1" applyFont="1" applyFill="1" applyBorder="1"/>
    <xf numFmtId="166" fontId="15" fillId="0" borderId="4" xfId="21" applyNumberFormat="1" applyFont="1" applyFill="1" applyBorder="1" applyAlignment="1">
      <alignment horizontal="center"/>
    </xf>
    <xf numFmtId="166" fontId="15" fillId="0" borderId="4" xfId="13" applyNumberFormat="1" applyFont="1" applyBorder="1"/>
    <xf numFmtId="166" fontId="15" fillId="0" borderId="4" xfId="13" applyNumberFormat="1" applyFont="1" applyBorder="1" applyAlignment="1">
      <alignment horizontal="center" vertical="center"/>
    </xf>
    <xf numFmtId="166" fontId="15" fillId="0" borderId="4" xfId="21" applyNumberFormat="1" applyFont="1" applyFill="1" applyBorder="1" applyAlignment="1">
      <alignment horizontal="right" vertical="center"/>
    </xf>
    <xf numFmtId="0" fontId="17" fillId="0" borderId="4" xfId="13" applyFont="1" applyBorder="1" applyAlignment="1">
      <alignment horizontal="center" vertical="center"/>
    </xf>
    <xf numFmtId="10" fontId="17" fillId="0" borderId="4" xfId="15" applyNumberFormat="1" applyFont="1" applyFill="1" applyBorder="1" applyAlignment="1">
      <alignment horizontal="center" vertical="center"/>
    </xf>
    <xf numFmtId="10" fontId="17" fillId="0" borderId="4" xfId="15" applyNumberFormat="1" applyFont="1" applyFill="1" applyBorder="1" applyAlignment="1">
      <alignment horizontal="right" vertical="center"/>
    </xf>
    <xf numFmtId="0" fontId="15" fillId="0" borderId="4" xfId="13" applyFont="1" applyBorder="1"/>
    <xf numFmtId="0" fontId="18" fillId="0" borderId="4" xfId="13" applyFont="1" applyBorder="1"/>
    <xf numFmtId="167" fontId="3" fillId="0" borderId="4" xfId="12" applyNumberFormat="1" applyFont="1" applyBorder="1" applyAlignment="1">
      <alignment vertical="center"/>
    </xf>
    <xf numFmtId="0" fontId="3" fillId="0" borderId="4" xfId="13" applyFont="1" applyBorder="1" applyAlignment="1">
      <alignment horizontal="right" vertical="center"/>
    </xf>
    <xf numFmtId="167" fontId="3" fillId="0" borderId="4" xfId="12" applyNumberFormat="1" applyFont="1" applyBorder="1" applyAlignment="1">
      <alignment horizontal="right" vertical="center"/>
    </xf>
    <xf numFmtId="3" fontId="3" fillId="0" borderId="4" xfId="8" applyNumberFormat="1" applyFont="1" applyBorder="1" applyAlignment="1" applyProtection="1">
      <alignment horizontal="right"/>
      <protection locked="0"/>
    </xf>
    <xf numFmtId="10" fontId="3" fillId="0" borderId="4" xfId="15" applyNumberFormat="1" applyFont="1" applyFill="1" applyBorder="1" applyAlignment="1">
      <alignment horizontal="right" vertical="center"/>
    </xf>
    <xf numFmtId="0" fontId="3" fillId="0" borderId="4" xfId="16" applyFont="1" applyBorder="1" applyAlignment="1">
      <alignment vertical="center" wrapText="1"/>
    </xf>
    <xf numFmtId="2" fontId="4" fillId="0" borderId="4" xfId="18" applyNumberFormat="1" applyFont="1" applyBorder="1" applyAlignment="1">
      <alignment horizontal="left" vertical="center" wrapText="1"/>
    </xf>
    <xf numFmtId="166" fontId="4" fillId="0" borderId="4" xfId="14" applyNumberFormat="1" applyFont="1" applyFill="1" applyBorder="1" applyAlignment="1">
      <alignment horizontal="right" vertical="center"/>
    </xf>
    <xf numFmtId="0" fontId="3" fillId="0" borderId="4" xfId="19" applyFont="1" applyBorder="1" applyAlignment="1">
      <alignment vertical="center"/>
    </xf>
    <xf numFmtId="0" fontId="3" fillId="0" borderId="4" xfId="19" applyFont="1" applyBorder="1" applyAlignment="1">
      <alignment horizontal="left" vertical="center"/>
    </xf>
    <xf numFmtId="10" fontId="3" fillId="0" borderId="4" xfId="20" applyNumberFormat="1" applyFont="1" applyFill="1" applyBorder="1" applyAlignment="1">
      <alignment horizontal="right" vertical="center" wrapText="1"/>
    </xf>
    <xf numFmtId="1" fontId="3" fillId="0" borderId="4" xfId="20" applyNumberFormat="1" applyFont="1" applyFill="1" applyBorder="1" applyAlignment="1">
      <alignment horizontal="right" vertical="center" wrapText="1"/>
    </xf>
    <xf numFmtId="166" fontId="3" fillId="0" borderId="4" xfId="14" applyNumberFormat="1" applyFont="1" applyBorder="1" applyAlignment="1">
      <alignment horizontal="right" vertical="center"/>
    </xf>
    <xf numFmtId="0" fontId="4" fillId="0" borderId="8" xfId="12" applyFont="1" applyBorder="1" applyAlignment="1">
      <alignment vertical="center"/>
    </xf>
    <xf numFmtId="0" fontId="3" fillId="0" borderId="9" xfId="13" applyFont="1" applyBorder="1" applyAlignment="1">
      <alignment vertical="center"/>
    </xf>
    <xf numFmtId="166" fontId="3" fillId="0" borderId="4" xfId="11" applyNumberFormat="1" applyFont="1" applyFill="1" applyBorder="1" applyAlignment="1">
      <alignment horizontal="right"/>
    </xf>
    <xf numFmtId="166" fontId="3" fillId="0" borderId="4" xfId="11" applyNumberFormat="1" applyFont="1" applyFill="1" applyBorder="1"/>
    <xf numFmtId="0" fontId="16" fillId="4" borderId="4" xfId="12" applyFont="1" applyFill="1" applyBorder="1" applyAlignment="1">
      <alignment vertical="center"/>
    </xf>
    <xf numFmtId="1" fontId="16" fillId="4" borderId="4" xfId="12" applyNumberFormat="1" applyFont="1" applyFill="1" applyBorder="1" applyAlignment="1">
      <alignment vertical="center"/>
    </xf>
    <xf numFmtId="165" fontId="16" fillId="4" borderId="4" xfId="14" applyFont="1" applyFill="1" applyBorder="1" applyAlignment="1">
      <alignment horizontal="right" vertical="center"/>
    </xf>
    <xf numFmtId="166" fontId="3" fillId="6" borderId="4" xfId="17" applyNumberFormat="1" applyFont="1" applyFill="1" applyBorder="1" applyAlignment="1">
      <alignment horizontal="right" vertical="center"/>
    </xf>
    <xf numFmtId="0" fontId="3" fillId="6" borderId="4" xfId="16" applyFont="1" applyFill="1" applyBorder="1" applyAlignment="1">
      <alignment vertical="center" wrapText="1"/>
    </xf>
    <xf numFmtId="0" fontId="3" fillId="0" borderId="0" xfId="8" applyFont="1" applyAlignment="1">
      <alignment vertical="top" wrapText="1"/>
    </xf>
    <xf numFmtId="0" fontId="3" fillId="0" borderId="4" xfId="13" applyFont="1" applyBorder="1" applyAlignment="1">
      <alignment vertical="center"/>
    </xf>
    <xf numFmtId="167" fontId="3" fillId="0" borderId="5" xfId="12" applyNumberFormat="1" applyFont="1" applyBorder="1" applyAlignment="1">
      <alignment vertical="center"/>
    </xf>
    <xf numFmtId="168" fontId="3" fillId="0" borderId="4" xfId="1" applyNumberFormat="1" applyFont="1" applyBorder="1" applyAlignment="1">
      <alignment vertical="center"/>
    </xf>
    <xf numFmtId="10" fontId="3" fillId="0" borderId="4" xfId="2" applyNumberFormat="1" applyFont="1" applyBorder="1" applyAlignment="1">
      <alignment vertical="center"/>
    </xf>
    <xf numFmtId="10" fontId="3" fillId="0" borderId="4" xfId="2" applyNumberFormat="1" applyFont="1" applyBorder="1" applyAlignment="1">
      <alignment horizontal="right" vertical="center"/>
    </xf>
    <xf numFmtId="165" fontId="3" fillId="0" borderId="4" xfId="14" applyFont="1" applyBorder="1" applyAlignment="1">
      <alignment horizontal="right" vertical="center"/>
    </xf>
    <xf numFmtId="2" fontId="3" fillId="0" borderId="4" xfId="2" applyNumberFormat="1" applyFont="1" applyBorder="1" applyAlignment="1">
      <alignment horizontal="right" vertical="center"/>
    </xf>
    <xf numFmtId="0" fontId="13" fillId="0" borderId="4" xfId="4" applyFont="1" applyBorder="1" applyAlignment="1">
      <alignment vertical="center" wrapText="1"/>
    </xf>
    <xf numFmtId="0" fontId="13" fillId="0" borderId="4" xfId="4" applyFont="1" applyBorder="1" applyAlignment="1">
      <alignment vertical="top" wrapText="1"/>
    </xf>
    <xf numFmtId="0" fontId="13" fillId="0" borderId="4" xfId="4" applyFont="1" applyBorder="1" applyAlignment="1">
      <alignment horizontal="left" vertical="center" wrapText="1"/>
    </xf>
    <xf numFmtId="10" fontId="17" fillId="0" borderId="4" xfId="2" applyNumberFormat="1" applyFont="1" applyFill="1" applyBorder="1" applyAlignment="1">
      <alignment horizontal="center" vertical="center"/>
    </xf>
    <xf numFmtId="168" fontId="15" fillId="0" borderId="4" xfId="1" applyNumberFormat="1" applyFont="1" applyFill="1" applyBorder="1" applyAlignment="1">
      <alignment horizontal="center" vertical="center"/>
    </xf>
    <xf numFmtId="168" fontId="15" fillId="0" borderId="4" xfId="1" applyNumberFormat="1" applyFont="1" applyBorder="1"/>
    <xf numFmtId="168" fontId="3" fillId="0" borderId="4" xfId="1" applyNumberFormat="1" applyFont="1" applyFill="1" applyBorder="1" applyAlignment="1">
      <alignment horizontal="right"/>
    </xf>
    <xf numFmtId="10" fontId="3" fillId="0" borderId="4" xfId="2" applyNumberFormat="1" applyFont="1" applyFill="1" applyBorder="1" applyAlignment="1">
      <alignment horizontal="right" vertical="center"/>
    </xf>
    <xf numFmtId="168" fontId="3" fillId="6" borderId="4" xfId="1" applyNumberFormat="1" applyFont="1" applyFill="1" applyBorder="1" applyAlignment="1">
      <alignment vertical="center" wrapText="1"/>
    </xf>
    <xf numFmtId="0" fontId="3" fillId="0" borderId="0" xfId="13" applyFont="1" applyAlignment="1">
      <alignment horizontal="center"/>
    </xf>
    <xf numFmtId="168" fontId="3" fillId="0" borderId="4" xfId="1" applyNumberFormat="1" applyFont="1" applyFill="1" applyBorder="1" applyAlignment="1">
      <alignment vertical="center" wrapText="1"/>
    </xf>
    <xf numFmtId="10" fontId="3" fillId="0" borderId="0" xfId="2" applyNumberFormat="1" applyFont="1" applyAlignment="1">
      <alignment horizontal="left"/>
    </xf>
    <xf numFmtId="0" fontId="3" fillId="0" borderId="0" xfId="8" applyFont="1" applyAlignment="1">
      <alignment horizontal="left"/>
    </xf>
    <xf numFmtId="3" fontId="3" fillId="0" borderId="12" xfId="8" applyNumberFormat="1" applyFont="1" applyBorder="1" applyAlignment="1" applyProtection="1">
      <alignment horizontal="right"/>
      <protection locked="0"/>
    </xf>
    <xf numFmtId="10" fontId="3" fillId="0" borderId="12" xfId="15" applyNumberFormat="1" applyFont="1" applyFill="1" applyBorder="1" applyAlignment="1">
      <alignment horizontal="right" vertical="center"/>
    </xf>
    <xf numFmtId="10" fontId="11" fillId="0" borderId="0" xfId="13" applyNumberFormat="1" applyFont="1"/>
    <xf numFmtId="10" fontId="13" fillId="0" borderId="4" xfId="13" applyNumberFormat="1" applyFont="1" applyBorder="1" applyAlignment="1">
      <alignment horizontal="center"/>
    </xf>
    <xf numFmtId="0" fontId="3" fillId="0" borderId="10" xfId="8" applyFont="1" applyBorder="1" applyAlignment="1">
      <alignment horizontal="center"/>
    </xf>
    <xf numFmtId="166" fontId="4" fillId="0" borderId="0" xfId="9" applyNumberFormat="1" applyFont="1" applyAlignment="1">
      <alignment horizontal="left" vertical="center" wrapText="1"/>
    </xf>
    <xf numFmtId="0" fontId="4" fillId="0" borderId="10" xfId="9" applyFont="1" applyBorder="1" applyAlignment="1">
      <alignment horizontal="center" vertical="center" wrapText="1"/>
    </xf>
    <xf numFmtId="9" fontId="3" fillId="0" borderId="0" xfId="7" applyFont="1" applyFill="1"/>
    <xf numFmtId="10" fontId="4" fillId="0" borderId="0" xfId="8" applyNumberFormat="1" applyFont="1" applyAlignment="1">
      <alignment horizontal="left"/>
    </xf>
    <xf numFmtId="10" fontId="4" fillId="0" borderId="0" xfId="8" applyNumberFormat="1" applyFont="1"/>
    <xf numFmtId="0" fontId="4" fillId="0" borderId="0" xfId="9" applyFont="1" applyAlignment="1">
      <alignment horizontal="center" vertical="center" wrapText="1"/>
    </xf>
    <xf numFmtId="43" fontId="4" fillId="0" borderId="0" xfId="1" applyFont="1" applyFill="1" applyAlignment="1">
      <alignment horizontal="center" vertical="center" wrapText="1"/>
    </xf>
    <xf numFmtId="0" fontId="3" fillId="0" borderId="4" xfId="10" applyFont="1" applyBorder="1" applyAlignment="1">
      <alignment vertical="center" wrapText="1"/>
    </xf>
    <xf numFmtId="3" fontId="3" fillId="0" borderId="4" xfId="0" applyNumberFormat="1" applyFont="1" applyBorder="1" applyProtection="1">
      <protection locked="0"/>
    </xf>
    <xf numFmtId="3" fontId="3" fillId="0" borderId="4" xfId="10" applyNumberFormat="1" applyFont="1" applyBorder="1" applyAlignment="1">
      <alignment vertical="center" wrapText="1"/>
    </xf>
    <xf numFmtId="168" fontId="3" fillId="0" borderId="4" xfId="1" applyNumberFormat="1" applyFont="1" applyFill="1" applyBorder="1" applyAlignment="1">
      <alignment wrapText="1"/>
    </xf>
    <xf numFmtId="0" fontId="3" fillId="0" borderId="4" xfId="0" applyFont="1" applyBorder="1"/>
    <xf numFmtId="0" fontId="4" fillId="0" borderId="2" xfId="12" applyFont="1" applyBorder="1" applyAlignment="1">
      <alignment vertical="center"/>
    </xf>
    <xf numFmtId="0" fontId="3" fillId="0" borderId="2" xfId="13" applyFont="1" applyBorder="1" applyAlignment="1">
      <alignment vertical="center"/>
    </xf>
    <xf numFmtId="0" fontId="3" fillId="0" borderId="10" xfId="13" applyFont="1" applyBorder="1" applyAlignment="1">
      <alignment vertical="center"/>
    </xf>
    <xf numFmtId="0" fontId="3" fillId="0" borderId="10" xfId="13" applyFont="1" applyBorder="1" applyAlignment="1">
      <alignment horizontal="center" vertical="center"/>
    </xf>
    <xf numFmtId="0" fontId="3" fillId="0" borderId="0" xfId="13" applyFont="1" applyAlignment="1">
      <alignment horizontal="center" vertical="center"/>
    </xf>
    <xf numFmtId="168" fontId="3" fillId="0" borderId="4" xfId="1" applyNumberFormat="1" applyFont="1" applyFill="1" applyBorder="1" applyAlignment="1">
      <alignment horizontal="center" vertical="center" wrapText="1"/>
    </xf>
    <xf numFmtId="168" fontId="15" fillId="0" borderId="4" xfId="1" applyNumberFormat="1" applyFont="1" applyBorder="1" applyAlignment="1">
      <alignment horizontal="center" vertical="center"/>
    </xf>
    <xf numFmtId="0" fontId="15" fillId="2" borderId="0" xfId="6" applyFont="1" applyFill="1" applyAlignment="1">
      <alignment horizontal="left" vertical="top" wrapText="1"/>
    </xf>
    <xf numFmtId="0" fontId="10" fillId="0" borderId="1" xfId="13" applyFont="1" applyBorder="1" applyAlignment="1">
      <alignment horizontal="left" vertical="center" wrapText="1"/>
    </xf>
    <xf numFmtId="0" fontId="10" fillId="0" borderId="2" xfId="13" applyFont="1" applyBorder="1" applyAlignment="1">
      <alignment horizontal="left" vertical="center" wrapText="1"/>
    </xf>
    <xf numFmtId="0" fontId="10" fillId="0" borderId="3" xfId="13" applyFont="1" applyBorder="1" applyAlignment="1">
      <alignment horizontal="left" vertical="center" wrapText="1"/>
    </xf>
    <xf numFmtId="0" fontId="12" fillId="4" borderId="4" xfId="13" applyFont="1" applyFill="1" applyBorder="1" applyAlignment="1">
      <alignment horizontal="center" vertical="center" wrapText="1"/>
    </xf>
    <xf numFmtId="0" fontId="12" fillId="4" borderId="4" xfId="13" applyFont="1" applyFill="1" applyBorder="1" applyAlignment="1">
      <alignment horizontal="left" vertical="center" wrapText="1"/>
    </xf>
    <xf numFmtId="0" fontId="12" fillId="4" borderId="5" xfId="13" applyFont="1" applyFill="1" applyBorder="1" applyAlignment="1">
      <alignment horizontal="center" vertical="center" wrapText="1"/>
    </xf>
    <xf numFmtId="0" fontId="12" fillId="4" borderId="6" xfId="13" applyFont="1" applyFill="1" applyBorder="1" applyAlignment="1">
      <alignment horizontal="center" vertical="center" wrapText="1"/>
    </xf>
    <xf numFmtId="0" fontId="14" fillId="0" borderId="5" xfId="13" applyFont="1" applyBorder="1" applyAlignment="1">
      <alignment horizontal="left" vertical="center" wrapText="1"/>
    </xf>
    <xf numFmtId="0" fontId="14" fillId="0" borderId="6" xfId="13" applyFont="1" applyBorder="1" applyAlignment="1">
      <alignment horizontal="left" vertical="center" wrapText="1"/>
    </xf>
    <xf numFmtId="0" fontId="14" fillId="0" borderId="7" xfId="13" applyFont="1" applyBorder="1" applyAlignment="1">
      <alignment horizontal="left" vertical="center" wrapText="1"/>
    </xf>
    <xf numFmtId="0" fontId="12" fillId="4" borderId="5" xfId="13" applyFont="1" applyFill="1" applyBorder="1" applyAlignment="1">
      <alignment horizontal="left" vertical="center"/>
    </xf>
    <xf numFmtId="0" fontId="12" fillId="4" borderId="6" xfId="13" applyFont="1" applyFill="1" applyBorder="1" applyAlignment="1">
      <alignment horizontal="left" vertical="center"/>
    </xf>
    <xf numFmtId="0" fontId="12" fillId="4" borderId="7" xfId="13" applyFont="1" applyFill="1" applyBorder="1" applyAlignment="1">
      <alignment horizontal="left" vertical="center"/>
    </xf>
    <xf numFmtId="0" fontId="16" fillId="4" borderId="4" xfId="10" applyFont="1" applyFill="1" applyBorder="1" applyAlignment="1">
      <alignment horizontal="center" vertical="center" wrapText="1"/>
    </xf>
    <xf numFmtId="0" fontId="16" fillId="4" borderId="1" xfId="8" applyFont="1" applyFill="1" applyBorder="1" applyAlignment="1">
      <alignment horizontal="center" vertical="top" wrapText="1"/>
    </xf>
    <xf numFmtId="0" fontId="16" fillId="4" borderId="2" xfId="8" applyFont="1" applyFill="1" applyBorder="1" applyAlignment="1">
      <alignment horizontal="center" vertical="top" wrapText="1"/>
    </xf>
    <xf numFmtId="0" fontId="16" fillId="4" borderId="9" xfId="8" applyFont="1" applyFill="1" applyBorder="1" applyAlignment="1">
      <alignment horizontal="center" vertical="top" wrapText="1"/>
    </xf>
    <xf numFmtId="0" fontId="16" fillId="4" borderId="10" xfId="8" applyFont="1" applyFill="1" applyBorder="1" applyAlignment="1">
      <alignment horizontal="center" vertical="top" wrapText="1"/>
    </xf>
    <xf numFmtId="0" fontId="16" fillId="4" borderId="1" xfId="10" applyFont="1" applyFill="1" applyBorder="1" applyAlignment="1">
      <alignment horizontal="center" vertical="top" wrapText="1"/>
    </xf>
    <xf numFmtId="0" fontId="16" fillId="4" borderId="2" xfId="10" applyFont="1" applyFill="1" applyBorder="1" applyAlignment="1">
      <alignment horizontal="center" vertical="top" wrapText="1"/>
    </xf>
    <xf numFmtId="0" fontId="16" fillId="4" borderId="9" xfId="10" applyFont="1" applyFill="1" applyBorder="1" applyAlignment="1">
      <alignment horizontal="center" vertical="top" wrapText="1"/>
    </xf>
    <xf numFmtId="0" fontId="16" fillId="4" borderId="10" xfId="10" applyFont="1" applyFill="1" applyBorder="1" applyAlignment="1">
      <alignment horizontal="center" vertical="top" wrapText="1"/>
    </xf>
    <xf numFmtId="0" fontId="4" fillId="0" borderId="10" xfId="9" applyFont="1" applyBorder="1" applyAlignment="1">
      <alignment horizontal="center" vertical="center" wrapText="1"/>
    </xf>
    <xf numFmtId="0" fontId="3" fillId="0" borderId="10" xfId="8" applyFont="1" applyBorder="1" applyAlignment="1">
      <alignment horizontal="center"/>
    </xf>
    <xf numFmtId="0" fontId="16" fillId="4" borderId="3" xfId="10" applyFont="1" applyFill="1" applyBorder="1" applyAlignment="1">
      <alignment horizontal="center" vertical="top" wrapText="1"/>
    </xf>
    <xf numFmtId="0" fontId="16" fillId="4" borderId="11" xfId="10" applyFont="1" applyFill="1" applyBorder="1" applyAlignment="1">
      <alignment horizontal="center" vertical="top" wrapText="1"/>
    </xf>
    <xf numFmtId="0" fontId="16" fillId="4" borderId="3" xfId="8" applyFont="1" applyFill="1" applyBorder="1" applyAlignment="1">
      <alignment horizontal="center" vertical="top" wrapText="1"/>
    </xf>
    <xf numFmtId="0" fontId="16" fillId="4" borderId="11" xfId="8" applyFont="1" applyFill="1" applyBorder="1" applyAlignment="1">
      <alignment horizontal="center" vertical="top" wrapText="1"/>
    </xf>
    <xf numFmtId="0" fontId="16" fillId="4" borderId="5" xfId="10" applyFont="1" applyFill="1" applyBorder="1" applyAlignment="1">
      <alignment horizontal="center" vertical="center" wrapText="1"/>
    </xf>
    <xf numFmtId="0" fontId="16" fillId="4" borderId="6" xfId="10" applyFont="1" applyFill="1" applyBorder="1" applyAlignment="1">
      <alignment horizontal="center" vertical="center" wrapText="1"/>
    </xf>
    <xf numFmtId="1" fontId="3" fillId="0" borderId="5" xfId="14" applyNumberFormat="1" applyFont="1" applyBorder="1" applyAlignment="1">
      <alignment horizontal="center" vertical="center"/>
    </xf>
    <xf numFmtId="1" fontId="3" fillId="0" borderId="6" xfId="14" applyNumberFormat="1" applyFont="1" applyBorder="1" applyAlignment="1">
      <alignment horizontal="center" vertical="center"/>
    </xf>
    <xf numFmtId="0" fontId="3" fillId="0" borderId="10" xfId="13" applyFont="1" applyBorder="1" applyAlignment="1">
      <alignment horizontal="center" vertical="center"/>
    </xf>
    <xf numFmtId="0" fontId="16" fillId="5" borderId="4" xfId="12" applyFont="1" applyFill="1" applyBorder="1" applyAlignment="1">
      <alignment horizontal="center" vertical="center" wrapText="1"/>
    </xf>
    <xf numFmtId="0" fontId="16" fillId="5" borderId="5" xfId="12" applyFont="1" applyFill="1" applyBorder="1" applyAlignment="1">
      <alignment horizontal="center" vertical="center" wrapText="1"/>
    </xf>
    <xf numFmtId="0" fontId="3" fillId="0" borderId="0" xfId="13" applyFont="1" applyAlignment="1"/>
    <xf numFmtId="0" fontId="16" fillId="4" borderId="4" xfId="13" applyFont="1" applyFill="1" applyBorder="1" applyAlignment="1">
      <alignment vertical="center" wrapText="1"/>
    </xf>
    <xf numFmtId="0" fontId="16" fillId="4" borderId="1" xfId="13" applyFont="1" applyFill="1" applyBorder="1" applyAlignment="1">
      <alignment vertical="center" wrapText="1"/>
    </xf>
    <xf numFmtId="0" fontId="16" fillId="4" borderId="2" xfId="13" applyFont="1" applyFill="1" applyBorder="1" applyAlignment="1">
      <alignment vertical="center" wrapText="1"/>
    </xf>
    <xf numFmtId="0" fontId="16" fillId="4" borderId="9" xfId="13" applyFont="1" applyFill="1" applyBorder="1" applyAlignment="1">
      <alignment vertical="center" wrapText="1"/>
    </xf>
    <xf numFmtId="0" fontId="16" fillId="4" borderId="10" xfId="13" applyFont="1" applyFill="1" applyBorder="1" applyAlignment="1">
      <alignment vertical="center" wrapText="1"/>
    </xf>
    <xf numFmtId="10" fontId="18" fillId="0" borderId="5" xfId="15" applyNumberFormat="1" applyFont="1" applyBorder="1" applyAlignment="1"/>
    <xf numFmtId="10" fontId="18" fillId="0" borderId="6" xfId="15" applyNumberFormat="1" applyFont="1" applyBorder="1" applyAlignment="1"/>
    <xf numFmtId="10" fontId="18" fillId="0" borderId="7" xfId="15" applyNumberFormat="1" applyFont="1" applyBorder="1" applyAlignment="1"/>
  </cellXfs>
  <cellStyles count="22">
    <cellStyle name="Comma" xfId="1" builtinId="3"/>
    <cellStyle name="Comma 2" xfId="3" xr:uid="{00000000-0005-0000-0000-000001000000}"/>
    <cellStyle name="Comma 2 2" xfId="14" xr:uid="{402ACC33-7F84-44E2-B219-A67EAF4DE281}"/>
    <cellStyle name="Comma 2 2 2" xfId="17" xr:uid="{55EF457E-DC3F-443A-A088-8794DCD733DA}"/>
    <cellStyle name="Comma 2 3" xfId="21" xr:uid="{173A0452-7D68-4CBF-ABD9-EA032E994B0E}"/>
    <cellStyle name="Comma 3" xfId="11" xr:uid="{3B8CAEE4-75A0-4DC6-B3B4-31F6AADFD07E}"/>
    <cellStyle name="Normal" xfId="0" builtinId="0"/>
    <cellStyle name="Normal 2" xfId="8" xr:uid="{712766E2-BEDA-4725-8743-D4E74B008C96}"/>
    <cellStyle name="Normal 2 2" xfId="13" xr:uid="{634AF359-6198-4B60-BD9B-5A042777475E}"/>
    <cellStyle name="Normal 2 4" xfId="16" xr:uid="{CD93DDF9-037C-4CA6-AA09-35765EEA2BD4}"/>
    <cellStyle name="Normal 3 2" xfId="19" xr:uid="{EACE0847-08CE-4A8F-B685-EE56083BB7BB}"/>
    <cellStyle name="Normal_~4605466 2 2" xfId="12" xr:uid="{30DB8326-CE2B-403D-9FD3-AE68F5B943D9}"/>
    <cellStyle name="Normal_Annexure - 9 2 2" xfId="18" xr:uid="{549ADB3F-9AC2-4F4D-83EB-23DB0A7EC39C}"/>
    <cellStyle name="Normal_Annexure 4 - Margin Analysis" xfId="6" xr:uid="{C4F80610-4B62-4E64-9F6E-5ACB00C57BD0}"/>
    <cellStyle name="Normal_Annexure 5 - Margin analysis of comparable companies" xfId="5" xr:uid="{76F0EF22-6547-42FF-853A-CF0502C3E861}"/>
    <cellStyle name="Normal_Detailed margin analysis_post QC" xfId="4" xr:uid="{66D1C71A-4189-4867-8EBF-71CE32D42AC4}"/>
    <cellStyle name="Normal_Detailed Margin Analysis_Sept 2005 update 2" xfId="9" xr:uid="{C0813BD0-71DA-41D7-BC31-9CE412FBE6C3}"/>
    <cellStyle name="Normal_working capital calculations-latest 2" xfId="10" xr:uid="{57AA68AD-F7E4-47BA-87FF-247D2B727061}"/>
    <cellStyle name="Percent" xfId="2" builtinId="5"/>
    <cellStyle name="Percent 2" xfId="7" xr:uid="{C2FB093C-893E-4AB3-B418-DF0C0B58885D}"/>
    <cellStyle name="Percent 2 2" xfId="15" xr:uid="{F7FED204-DAF5-4CBE-826E-7260C18223D1}"/>
    <cellStyle name="Percent 4 2" xfId="20" xr:uid="{6C080F3F-598B-4DB1-8FF1-51AE4BD2F4F1}"/>
  </cellStyles>
  <dxfs count="0"/>
  <tableStyles count="0" defaultTableStyle="TableStyleMedium2" defaultPivotStyle="PivotStyleLight16"/>
  <colors>
    <mruColors>
      <color rgb="FF646464"/>
      <color rgb="FF808080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elhmeynas01\Tax\Clients\Transfer%20Pricing\Sony%20India%20Private%20Limited\Assessment%20(AY%202003-04)\4-%20November%20,%202005\client%20information\Annexure%201%20-%20Line%20by%20Line%20PL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lients\Transfer%20Pricing\Sony%20India%20Private%20Limited\Assessment%20(AY%202003-04)\4-%20November%20,%202005\client%20information\Annexure%201%20-%20Line%20by%20Line%20PL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2.129.51\tax\Clients\Transfer%20Pricing\Sony%20India%20Private%20Limited\Assessment%20(AY%202003-04)\4-%20November%20,%202005\client%20information\Annexure%201%20-%20Line%20by%20Line%20PL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egmental pl in 000s - LADt"/>
      <sheetName val="segmental pl in 000s"/>
      <sheetName val="Segmental PnL"/>
      <sheetName val="Sap to schvi"/>
      <sheetName val="Sheet2"/>
      <sheetName val="Allocation"/>
      <sheetName val="PL-TP000"/>
      <sheetName val="Sheet1"/>
      <sheetName val="COGS"/>
      <sheetName val="Sales"/>
      <sheetName val="variation"/>
      <sheetName val="Allocations"/>
      <sheetName val="Grouping"/>
      <sheetName val="PLBS SAP"/>
      <sheetName val="Sheet4"/>
      <sheetName val="Op Investment"/>
      <sheetName val="BS-80I - f"/>
      <sheetName val="BS- 80I"/>
      <sheetName val="Outsourcing sales &amp; PL"/>
      <sheetName val="AUNOTES"/>
      <sheetName val="spare c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egmental pl in 000s - LADt"/>
      <sheetName val="segmental pl in 000s"/>
      <sheetName val="Segmental PnL"/>
      <sheetName val="Sap to schvi"/>
      <sheetName val="Sheet2"/>
      <sheetName val="Allocation"/>
      <sheetName val="PL-TP000"/>
      <sheetName val="Sheet1"/>
      <sheetName val="COGS"/>
      <sheetName val="Sales"/>
      <sheetName val="variation"/>
      <sheetName val="Allocations"/>
      <sheetName val="Grouping"/>
      <sheetName val="PLBS SAP"/>
      <sheetName val="Sheet4"/>
      <sheetName val="Op Investment"/>
      <sheetName val="BS-80I - f"/>
      <sheetName val="BS- 80I"/>
      <sheetName val="Outsourcing sales &amp; PL"/>
      <sheetName val="AUNOTES"/>
      <sheetName val="spare cons"/>
      <sheetName val="segmental_pl_in_000s_-_LAD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egmental pl in 000s - LADt"/>
      <sheetName val="segmental pl in 000s"/>
      <sheetName val="Segmental PnL"/>
      <sheetName val="Sap to schvi"/>
      <sheetName val="Sheet2"/>
      <sheetName val="Allocation"/>
      <sheetName val="PL-TP000"/>
      <sheetName val="Sheet1"/>
      <sheetName val="COGS"/>
      <sheetName val="Sales"/>
      <sheetName val="variation"/>
      <sheetName val="Allocations"/>
      <sheetName val="Grouping"/>
      <sheetName val="PLBS SAP"/>
      <sheetName val="Sheet4"/>
      <sheetName val="Op Investment"/>
      <sheetName val="BS-80I - f"/>
      <sheetName val="BS- 80I"/>
      <sheetName val="Outsourcing sales &amp; PL"/>
      <sheetName val="AUNOTES"/>
      <sheetName val="spare c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730F-40A8-4402-883C-8CC4E1474BE8}">
  <dimension ref="A1:G21"/>
  <sheetViews>
    <sheetView showGridLines="0" zoomScaleNormal="100" workbookViewId="0">
      <selection activeCell="D8" sqref="D8"/>
    </sheetView>
  </sheetViews>
  <sheetFormatPr defaultColWidth="8.6640625" defaultRowHeight="12"/>
  <cols>
    <col min="1" max="1" width="6" style="12" customWidth="1"/>
    <col min="2" max="2" width="48.33203125" style="12" customWidth="1"/>
    <col min="3" max="3" width="12.33203125" style="12" customWidth="1"/>
    <col min="4" max="4" width="12.33203125" style="12" bestFit="1" customWidth="1"/>
    <col min="5" max="5" width="14.6640625" style="12" customWidth="1"/>
    <col min="6" max="6" width="18.33203125" style="12" customWidth="1"/>
    <col min="7" max="16384" width="8.6640625" style="12"/>
  </cols>
  <sheetData>
    <row r="1" spans="1:6" ht="64.2" customHeight="1" thickBot="1">
      <c r="A1" s="119" t="s">
        <v>0</v>
      </c>
      <c r="B1" s="120"/>
      <c r="C1" s="120"/>
      <c r="D1" s="120"/>
      <c r="E1" s="120"/>
      <c r="F1" s="121"/>
    </row>
    <row r="2" spans="1:6" ht="14.7" customHeight="1" thickBot="1">
      <c r="A2" s="122" t="s">
        <v>1</v>
      </c>
      <c r="B2" s="123" t="s">
        <v>2</v>
      </c>
      <c r="C2" s="124" t="s">
        <v>3</v>
      </c>
      <c r="D2" s="125"/>
      <c r="E2" s="125"/>
      <c r="F2" s="122" t="s">
        <v>4</v>
      </c>
    </row>
    <row r="3" spans="1:6" ht="36" customHeight="1" thickBot="1">
      <c r="A3" s="122"/>
      <c r="B3" s="123"/>
      <c r="C3" s="14" t="s">
        <v>73</v>
      </c>
      <c r="D3" s="14" t="s">
        <v>5</v>
      </c>
      <c r="E3" s="14" t="s">
        <v>6</v>
      </c>
      <c r="F3" s="122"/>
    </row>
    <row r="4" spans="1:6" ht="13.95" customHeight="1" thickBot="1">
      <c r="A4" s="15">
        <v>1</v>
      </c>
      <c r="B4" s="81" t="s">
        <v>7</v>
      </c>
      <c r="C4" s="97" t="s">
        <v>43</v>
      </c>
      <c r="D4" s="97">
        <f>'Gross Margins'!F20</f>
        <v>3.4582592172812047E-3</v>
      </c>
      <c r="E4" s="97">
        <f>'Gross Margins'!G20</f>
        <v>4.2030405710888055E-3</v>
      </c>
      <c r="F4" s="97">
        <f>'Gross Margins'!E22</f>
        <v>0.31223599078537995</v>
      </c>
    </row>
    <row r="5" spans="1:6" ht="13.95" customHeight="1" thickBot="1">
      <c r="A5" s="15">
        <v>2</v>
      </c>
      <c r="B5" s="81" t="s">
        <v>8</v>
      </c>
      <c r="C5" s="97" t="s">
        <v>43</v>
      </c>
      <c r="D5" s="97">
        <f>'Gross Margins'!AA20</f>
        <v>-1.8761915620449333E-4</v>
      </c>
      <c r="E5" s="97">
        <f>'Gross Margins'!AB20</f>
        <v>2.4708502554696712E-2</v>
      </c>
      <c r="F5" s="97">
        <f>'Gross Margins'!Z22</f>
        <v>7.4272725360218714E-3</v>
      </c>
    </row>
    <row r="6" spans="1:6" ht="13.95" customHeight="1" thickBot="1">
      <c r="A6" s="15">
        <v>3</v>
      </c>
      <c r="B6" s="82" t="s">
        <v>9</v>
      </c>
      <c r="C6" s="97" t="s">
        <v>43</v>
      </c>
      <c r="D6" s="97">
        <f>'Gross Margins'!AG20</f>
        <v>1.6850294665452081E-2</v>
      </c>
      <c r="E6" s="97">
        <f>'Gross Margins'!AH20</f>
        <v>3.3880207552262981E-2</v>
      </c>
      <c r="F6" s="97">
        <f>'Gross Margins'!AF22</f>
        <v>2.4894100796588433E-2</v>
      </c>
    </row>
    <row r="7" spans="1:6" ht="13.95" customHeight="1" thickBot="1">
      <c r="A7" s="15">
        <v>4</v>
      </c>
      <c r="B7" s="83" t="s">
        <v>10</v>
      </c>
      <c r="C7" s="97" t="s">
        <v>43</v>
      </c>
      <c r="D7" s="97">
        <f>'Gross Margins'!AD20</f>
        <v>4.2001997298186045E-2</v>
      </c>
      <c r="E7" s="97">
        <f>'Gross Margins'!AE20</f>
        <v>4.0525916366644585E-2</v>
      </c>
      <c r="F7" s="97">
        <f>'Gross Margins'!AC22</f>
        <v>4.1364369381226847E-2</v>
      </c>
    </row>
    <row r="8" spans="1:6" ht="13.95" customHeight="1" thickBot="1">
      <c r="A8" s="15">
        <v>5</v>
      </c>
      <c r="B8" s="83" t="s">
        <v>11</v>
      </c>
      <c r="C8" s="97" t="s">
        <v>43</v>
      </c>
      <c r="D8" s="97">
        <f>'Gross Margins'!R20</f>
        <v>4.4096180494827053E-2</v>
      </c>
      <c r="E8" s="97">
        <f>'Gross Margins'!S20</f>
        <v>4.0585145879968129E-2</v>
      </c>
      <c r="F8" s="97">
        <f>'Gross Margins'!Q22</f>
        <v>4.2403550105170558E-2</v>
      </c>
    </row>
    <row r="9" spans="1:6" ht="13.95" customHeight="1" thickBot="1">
      <c r="A9" s="15">
        <v>6</v>
      </c>
      <c r="B9" s="81" t="s">
        <v>13</v>
      </c>
      <c r="C9" s="97" t="s">
        <v>43</v>
      </c>
      <c r="D9" s="97">
        <f>'Gross Margins'!U20</f>
        <v>6.9194556082548306E-2</v>
      </c>
      <c r="E9" s="97">
        <f>'Gross Margins'!V20</f>
        <v>5.5229275019801551E-2</v>
      </c>
      <c r="F9" s="97">
        <f>'Gross Margins'!T22</f>
        <v>6.239918068579766E-2</v>
      </c>
    </row>
    <row r="10" spans="1:6" ht="13.95" customHeight="1" thickBot="1">
      <c r="A10" s="15">
        <v>7</v>
      </c>
      <c r="B10" s="82" t="s">
        <v>12</v>
      </c>
      <c r="C10" s="97" t="s">
        <v>43</v>
      </c>
      <c r="D10" s="97">
        <f>'Gross Margins'!I20</f>
        <v>7.6523659661621016E-2</v>
      </c>
      <c r="E10" s="97">
        <f>'Gross Margins'!J20</f>
        <v>5.8410957562701198E-2</v>
      </c>
      <c r="F10" s="97">
        <f>'Gross Margins'!H22</f>
        <v>6.6851697129374957E-2</v>
      </c>
    </row>
    <row r="11" spans="1:6" ht="13.95" customHeight="1" thickBot="1">
      <c r="A11" s="15">
        <v>8</v>
      </c>
      <c r="B11" s="81" t="s">
        <v>14</v>
      </c>
      <c r="C11" s="97" t="s">
        <v>43</v>
      </c>
      <c r="D11" s="97">
        <f>'Gross Margins'!X20</f>
        <v>0.10398859579270296</v>
      </c>
      <c r="E11" s="97">
        <f>'Gross Margins'!Y20</f>
        <v>8.1692092976555053E-2</v>
      </c>
      <c r="F11" s="97">
        <f>'Gross Margins'!W22</f>
        <v>9.1426048112343616E-2</v>
      </c>
    </row>
    <row r="12" spans="1:6" ht="13.95" customHeight="1" thickBot="1">
      <c r="A12" s="15">
        <v>9</v>
      </c>
      <c r="B12" s="81" t="s">
        <v>15</v>
      </c>
      <c r="C12" s="97" t="s">
        <v>43</v>
      </c>
      <c r="D12" s="97">
        <f>'Gross Margins'!L20</f>
        <v>0.13795373241116146</v>
      </c>
      <c r="E12" s="97">
        <f>'Gross Margins'!M20</f>
        <v>9.4675019181843886E-2</v>
      </c>
      <c r="F12" s="97">
        <f>'Gross Margins'!K22</f>
        <v>0.10965110636485777</v>
      </c>
    </row>
    <row r="13" spans="1:6" ht="13.95" customHeight="1" thickBot="1">
      <c r="A13" s="15">
        <v>10</v>
      </c>
      <c r="B13" s="81" t="s">
        <v>17</v>
      </c>
      <c r="C13" s="97" t="s">
        <v>43</v>
      </c>
      <c r="D13" s="97">
        <f>'Gross Margins'!C20</f>
        <v>0.12181939561173172</v>
      </c>
      <c r="E13" s="97">
        <f>'Gross Margins'!D20</f>
        <v>0.14029393623501402</v>
      </c>
      <c r="F13" s="97">
        <f>'Gross Margins'!B22</f>
        <v>0.13353124327944321</v>
      </c>
    </row>
    <row r="14" spans="1:6" ht="13.95" customHeight="1" thickBot="1">
      <c r="A14" s="15">
        <v>11</v>
      </c>
      <c r="B14" s="81" t="s">
        <v>16</v>
      </c>
      <c r="C14" s="97" t="s">
        <v>43</v>
      </c>
      <c r="D14" s="97">
        <f>'Gross Margins'!O20</f>
        <v>0.1469492438556155</v>
      </c>
      <c r="E14" s="97">
        <f>'Gross Margins'!P20</f>
        <v>0.1125781021308381</v>
      </c>
      <c r="F14" s="97">
        <f>'Gross Margins'!N22</f>
        <v>0.13219929306580724</v>
      </c>
    </row>
    <row r="15" spans="1:6" s="16" customFormat="1" ht="21.6" customHeight="1" thickBot="1">
      <c r="A15" s="129" t="s">
        <v>18</v>
      </c>
      <c r="B15" s="130"/>
      <c r="C15" s="130"/>
      <c r="D15" s="131"/>
      <c r="E15" s="13" t="s">
        <v>19</v>
      </c>
      <c r="F15" s="13" t="s">
        <v>20</v>
      </c>
    </row>
    <row r="16" spans="1:6" ht="13.95" customHeight="1" thickBot="1">
      <c r="A16" s="126" t="s">
        <v>21</v>
      </c>
      <c r="B16" s="127"/>
      <c r="C16" s="127"/>
      <c r="D16" s="128"/>
      <c r="E16" s="17">
        <f>ROUNDUP(A14*0.35,0)</f>
        <v>4</v>
      </c>
      <c r="F16" s="18">
        <f>VLOOKUP(E16,$A$4:$F$14,6,0)</f>
        <v>4.1364369381226847E-2</v>
      </c>
    </row>
    <row r="17" spans="1:7" ht="13.95" customHeight="1" thickBot="1">
      <c r="A17" s="126" t="s">
        <v>22</v>
      </c>
      <c r="B17" s="127"/>
      <c r="C17" s="127"/>
      <c r="D17" s="128"/>
      <c r="E17" s="19"/>
      <c r="F17" s="18">
        <f>MEDIAN(F4:F14)</f>
        <v>6.6851697129374957E-2</v>
      </c>
      <c r="G17" s="96"/>
    </row>
    <row r="18" spans="1:7" ht="13.95" customHeight="1" thickBot="1">
      <c r="A18" s="126" t="s">
        <v>23</v>
      </c>
      <c r="B18" s="127"/>
      <c r="C18" s="127"/>
      <c r="D18" s="128"/>
      <c r="E18" s="17">
        <f>ROUNDUP(A14*0.65,0)</f>
        <v>8</v>
      </c>
      <c r="F18" s="18">
        <f>VLOOKUP(E18,$A$4:$F$14,6,0)</f>
        <v>9.1426048112343616E-2</v>
      </c>
    </row>
    <row r="19" spans="1:7" ht="13.2">
      <c r="A19" s="20"/>
      <c r="B19" s="21"/>
      <c r="C19" s="21"/>
      <c r="D19" s="21"/>
      <c r="E19" s="21"/>
      <c r="F19" s="22"/>
    </row>
    <row r="20" spans="1:7" ht="13.2">
      <c r="A20" s="118" t="s">
        <v>72</v>
      </c>
      <c r="B20" s="118"/>
      <c r="C20" s="118"/>
      <c r="D20" s="118"/>
      <c r="E20" s="118"/>
      <c r="F20" s="118"/>
    </row>
    <row r="21" spans="1:7" ht="13.2">
      <c r="A21" s="23" t="s">
        <v>24</v>
      </c>
      <c r="B21" s="24"/>
      <c r="C21" s="24"/>
      <c r="D21" s="24"/>
      <c r="E21" s="24"/>
      <c r="F21" s="25"/>
    </row>
  </sheetData>
  <mergeCells count="10">
    <mergeCell ref="A20:F20"/>
    <mergeCell ref="A1:F1"/>
    <mergeCell ref="A2:A3"/>
    <mergeCell ref="B2:B3"/>
    <mergeCell ref="F2:F3"/>
    <mergeCell ref="C2:E2"/>
    <mergeCell ref="A16:D16"/>
    <mergeCell ref="A17:D17"/>
    <mergeCell ref="A18:D18"/>
    <mergeCell ref="A15:D15"/>
  </mergeCells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A967-FFBB-4DDF-829A-78E589A5AFFA}">
  <dimension ref="A1:AH22"/>
  <sheetViews>
    <sheetView showGridLines="0" tabSelected="1" topLeftCell="A2" zoomScale="80" zoomScaleNormal="80" zoomScaleSheetLayoutView="80" workbookViewId="0">
      <pane xSplit="1" topLeftCell="C1" activePane="topRight" state="frozen"/>
      <selection pane="topRight" activeCell="E25" sqref="E25"/>
    </sheetView>
  </sheetViews>
  <sheetFormatPr defaultColWidth="8.6640625" defaultRowHeight="12"/>
  <cols>
    <col min="1" max="1" width="54.6640625" style="12" customWidth="1"/>
    <col min="2" max="2" width="17.109375" style="12" customWidth="1"/>
    <col min="3" max="3" width="18.33203125" style="12" customWidth="1"/>
    <col min="4" max="4" width="15.33203125" style="12" bestFit="1" customWidth="1"/>
    <col min="5" max="5" width="15.33203125" style="12" customWidth="1"/>
    <col min="6" max="6" width="17.6640625" style="12" customWidth="1"/>
    <col min="7" max="7" width="15.33203125" style="12" bestFit="1" customWidth="1"/>
    <col min="8" max="9" width="19.33203125" style="12" customWidth="1"/>
    <col min="10" max="10" width="16.6640625" style="12" bestFit="1" customWidth="1"/>
    <col min="11" max="11" width="15.33203125" style="12" customWidth="1"/>
    <col min="12" max="12" width="16.5546875" style="12" customWidth="1"/>
    <col min="13" max="13" width="15.33203125" style="12" bestFit="1" customWidth="1"/>
    <col min="14" max="14" width="15.33203125" style="12" customWidth="1"/>
    <col min="15" max="15" width="21.6640625" style="12" customWidth="1"/>
    <col min="16" max="16" width="16.6640625" style="12" bestFit="1" customWidth="1"/>
    <col min="17" max="17" width="16.6640625" style="12" customWidth="1"/>
    <col min="18" max="18" width="20.6640625" style="12" customWidth="1"/>
    <col min="19" max="19" width="18.33203125" style="12" bestFit="1" customWidth="1"/>
    <col min="20" max="20" width="18.33203125" style="12" customWidth="1"/>
    <col min="21" max="21" width="19.6640625" style="12" customWidth="1"/>
    <col min="22" max="22" width="16.6640625" style="12" bestFit="1" customWidth="1"/>
    <col min="23" max="23" width="16.6640625" style="12" customWidth="1"/>
    <col min="24" max="24" width="21.44140625" style="12" customWidth="1"/>
    <col min="25" max="25" width="18.33203125" style="12" bestFit="1" customWidth="1"/>
    <col min="26" max="26" width="18.33203125" style="12" customWidth="1"/>
    <col min="27" max="27" width="22.44140625" style="12" customWidth="1"/>
    <col min="28" max="28" width="15.33203125" style="12" bestFit="1" customWidth="1"/>
    <col min="29" max="29" width="13.6640625" style="12" customWidth="1"/>
    <col min="30" max="30" width="20.33203125" style="12" customWidth="1"/>
    <col min="31" max="31" width="18.33203125" style="12" bestFit="1" customWidth="1"/>
    <col min="32" max="32" width="18.33203125" style="12" customWidth="1"/>
    <col min="33" max="33" width="22.6640625" style="12" customWidth="1"/>
    <col min="34" max="34" width="19.33203125" style="12" customWidth="1"/>
    <col min="35" max="16384" width="8.6640625" style="12"/>
  </cols>
  <sheetData>
    <row r="1" spans="1:34" ht="6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  <c r="P1" s="27"/>
      <c r="Q1" s="26"/>
      <c r="R1" s="26"/>
      <c r="S1" s="27"/>
      <c r="T1" s="27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spans="1:34" ht="55.2" customHeight="1">
      <c r="A2" s="28" t="s">
        <v>25</v>
      </c>
      <c r="B2" s="28"/>
      <c r="C2" s="154"/>
      <c r="D2" s="154"/>
      <c r="E2" s="90"/>
      <c r="F2" s="26"/>
      <c r="G2" s="26"/>
      <c r="H2" s="26"/>
      <c r="I2" s="29"/>
      <c r="J2" s="29"/>
      <c r="K2" s="26"/>
      <c r="L2" s="26"/>
      <c r="M2" s="26"/>
      <c r="N2" s="26"/>
      <c r="O2" s="26"/>
      <c r="P2" s="27"/>
      <c r="Q2" s="26"/>
      <c r="R2" s="26"/>
      <c r="S2" s="27"/>
      <c r="T2" s="27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 spans="1:34" ht="13.8" thickBo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 spans="1:34" s="30" customFormat="1" ht="12.6" customHeight="1" thickBot="1">
      <c r="A4" s="155" t="s">
        <v>26</v>
      </c>
      <c r="B4" s="156" t="s">
        <v>27</v>
      </c>
      <c r="C4" s="157"/>
      <c r="D4" s="157"/>
      <c r="E4" s="156" t="s">
        <v>7</v>
      </c>
      <c r="F4" s="157"/>
      <c r="G4" s="157"/>
      <c r="H4" s="156" t="s">
        <v>28</v>
      </c>
      <c r="I4" s="157"/>
      <c r="J4" s="157"/>
      <c r="K4" s="156" t="s">
        <v>29</v>
      </c>
      <c r="L4" s="157"/>
      <c r="M4" s="157"/>
      <c r="N4" s="156" t="s">
        <v>30</v>
      </c>
      <c r="O4" s="157"/>
      <c r="P4" s="157"/>
      <c r="Q4" s="156" t="s">
        <v>31</v>
      </c>
      <c r="R4" s="157"/>
      <c r="S4" s="157"/>
      <c r="T4" s="156" t="s">
        <v>13</v>
      </c>
      <c r="U4" s="157"/>
      <c r="V4" s="157"/>
      <c r="W4" s="156" t="s">
        <v>14</v>
      </c>
      <c r="X4" s="157"/>
      <c r="Y4" s="157"/>
      <c r="Z4" s="156" t="s">
        <v>8</v>
      </c>
      <c r="AA4" s="157"/>
      <c r="AB4" s="157"/>
      <c r="AC4" s="156" t="s">
        <v>32</v>
      </c>
      <c r="AD4" s="157"/>
      <c r="AE4" s="157"/>
      <c r="AF4" s="156" t="s">
        <v>33</v>
      </c>
      <c r="AG4" s="157"/>
      <c r="AH4" s="157"/>
    </row>
    <row r="5" spans="1:34" s="30" customFormat="1" ht="12.6" customHeight="1" thickBot="1">
      <c r="A5" s="155"/>
      <c r="B5" s="158"/>
      <c r="C5" s="159"/>
      <c r="D5" s="159"/>
      <c r="E5" s="158"/>
      <c r="F5" s="159"/>
      <c r="G5" s="159"/>
      <c r="H5" s="158"/>
      <c r="I5" s="159"/>
      <c r="J5" s="159"/>
      <c r="K5" s="158"/>
      <c r="L5" s="159"/>
      <c r="M5" s="159"/>
      <c r="N5" s="158"/>
      <c r="O5" s="159"/>
      <c r="P5" s="159"/>
      <c r="Q5" s="158"/>
      <c r="R5" s="159"/>
      <c r="S5" s="159"/>
      <c r="T5" s="158"/>
      <c r="U5" s="159"/>
      <c r="V5" s="159"/>
      <c r="W5" s="158"/>
      <c r="X5" s="159"/>
      <c r="Y5" s="159"/>
      <c r="Z5" s="158"/>
      <c r="AA5" s="159"/>
      <c r="AB5" s="159"/>
      <c r="AC5" s="158"/>
      <c r="AD5" s="159"/>
      <c r="AE5" s="159"/>
      <c r="AF5" s="158"/>
      <c r="AG5" s="159"/>
      <c r="AH5" s="159"/>
    </row>
    <row r="6" spans="1:34" ht="13.8" thickBot="1">
      <c r="A6" s="155"/>
      <c r="B6" s="31" t="s">
        <v>68</v>
      </c>
      <c r="C6" s="31" t="s">
        <v>69</v>
      </c>
      <c r="D6" s="31" t="s">
        <v>70</v>
      </c>
      <c r="E6" s="31" t="s">
        <v>68</v>
      </c>
      <c r="F6" s="31" t="s">
        <v>69</v>
      </c>
      <c r="G6" s="31" t="s">
        <v>70</v>
      </c>
      <c r="H6" s="31" t="s">
        <v>68</v>
      </c>
      <c r="I6" s="31" t="s">
        <v>69</v>
      </c>
      <c r="J6" s="31" t="s">
        <v>70</v>
      </c>
      <c r="K6" s="31" t="s">
        <v>68</v>
      </c>
      <c r="L6" s="31" t="s">
        <v>69</v>
      </c>
      <c r="M6" s="31" t="s">
        <v>70</v>
      </c>
      <c r="N6" s="31" t="s">
        <v>68</v>
      </c>
      <c r="O6" s="31" t="s">
        <v>69</v>
      </c>
      <c r="P6" s="31" t="s">
        <v>70</v>
      </c>
      <c r="Q6" s="31" t="s">
        <v>68</v>
      </c>
      <c r="R6" s="31" t="s">
        <v>69</v>
      </c>
      <c r="S6" s="31" t="s">
        <v>70</v>
      </c>
      <c r="T6" s="31" t="s">
        <v>68</v>
      </c>
      <c r="U6" s="31" t="s">
        <v>69</v>
      </c>
      <c r="V6" s="31" t="s">
        <v>70</v>
      </c>
      <c r="W6" s="31" t="s">
        <v>68</v>
      </c>
      <c r="X6" s="31" t="s">
        <v>69</v>
      </c>
      <c r="Y6" s="31" t="s">
        <v>70</v>
      </c>
      <c r="Z6" s="31" t="s">
        <v>68</v>
      </c>
      <c r="AA6" s="31" t="s">
        <v>69</v>
      </c>
      <c r="AB6" s="31" t="s">
        <v>70</v>
      </c>
      <c r="AC6" s="31" t="s">
        <v>68</v>
      </c>
      <c r="AD6" s="31" t="s">
        <v>69</v>
      </c>
      <c r="AE6" s="31" t="s">
        <v>70</v>
      </c>
      <c r="AF6" s="31" t="s">
        <v>68</v>
      </c>
      <c r="AG6" s="31" t="s">
        <v>69</v>
      </c>
      <c r="AH6" s="31" t="s">
        <v>70</v>
      </c>
    </row>
    <row r="7" spans="1:34" ht="13.8" thickBot="1">
      <c r="A7" s="32"/>
      <c r="B7" s="32"/>
      <c r="C7" s="33"/>
      <c r="D7" s="32"/>
      <c r="E7" s="33"/>
      <c r="F7" s="33"/>
      <c r="G7" s="32"/>
      <c r="H7" s="33"/>
      <c r="I7" s="33"/>
      <c r="J7" s="32"/>
      <c r="K7" s="33"/>
      <c r="L7" s="32"/>
      <c r="M7" s="32"/>
      <c r="N7" s="34"/>
      <c r="O7" s="35"/>
      <c r="P7" s="32"/>
      <c r="Q7" s="33"/>
      <c r="R7" s="36"/>
      <c r="S7" s="36"/>
      <c r="T7" s="36"/>
      <c r="U7" s="33"/>
      <c r="V7" s="32"/>
      <c r="W7" s="33"/>
      <c r="X7" s="33"/>
      <c r="Y7" s="32"/>
      <c r="Z7" s="33"/>
      <c r="AA7" s="33"/>
      <c r="AB7" s="33"/>
      <c r="AC7" s="33"/>
      <c r="AD7" s="33"/>
      <c r="AE7" s="32"/>
      <c r="AF7" s="33"/>
      <c r="AG7" s="33"/>
      <c r="AH7" s="32"/>
    </row>
    <row r="8" spans="1:34" ht="13.8" thickBot="1">
      <c r="A8" s="37" t="s">
        <v>34</v>
      </c>
      <c r="B8" s="117">
        <f>101825*1000</f>
        <v>101825000</v>
      </c>
      <c r="C8" s="38">
        <f>89876*1000</f>
        <v>89876000</v>
      </c>
      <c r="D8" s="38">
        <f>104312.42*1000</f>
        <v>104312420</v>
      </c>
      <c r="E8" s="117">
        <f>834495.4*1000</f>
        <v>834495400</v>
      </c>
      <c r="F8" s="38">
        <f>889556.51*1000</f>
        <v>889556510</v>
      </c>
      <c r="G8" s="38">
        <f>648630189</f>
        <v>648630189</v>
      </c>
      <c r="H8" s="117"/>
      <c r="I8" s="38">
        <v>7129712280</v>
      </c>
      <c r="J8" s="38">
        <f>81697*10^5</f>
        <v>8169700000</v>
      </c>
      <c r="K8" s="117" t="s">
        <v>43</v>
      </c>
      <c r="L8" s="38">
        <f>2096.5*10^5</f>
        <v>209650000</v>
      </c>
      <c r="M8" s="38">
        <f>396208*1000</f>
        <v>396208000</v>
      </c>
      <c r="N8" s="117" t="s">
        <v>43</v>
      </c>
      <c r="O8" s="38">
        <f>131787*10^5</f>
        <v>13178700000</v>
      </c>
      <c r="P8" s="38">
        <f>99069*10^5</f>
        <v>9906900000</v>
      </c>
      <c r="Q8" s="117" t="s">
        <v>43</v>
      </c>
      <c r="R8" s="38">
        <f>594632*10^5</f>
        <v>59463200000</v>
      </c>
      <c r="S8" s="38">
        <f>553503*10^5</f>
        <v>55350300000</v>
      </c>
      <c r="T8" s="117" t="s">
        <v>43</v>
      </c>
      <c r="U8" s="38">
        <f>82324.54*10^5</f>
        <v>8232453999.999999</v>
      </c>
      <c r="V8" s="38">
        <f>78024.2*10^5</f>
        <v>7802420000</v>
      </c>
      <c r="W8" s="117" t="s">
        <v>43</v>
      </c>
      <c r="X8" s="38">
        <f>192925.29*10^5</f>
        <v>19292529000</v>
      </c>
      <c r="Y8" s="38">
        <f>248987.5*10^5</f>
        <v>24898750000</v>
      </c>
      <c r="Z8" s="117" t="s">
        <v>43</v>
      </c>
      <c r="AA8" s="38">
        <f>6928.93*10^5</f>
        <v>692893000</v>
      </c>
      <c r="AB8" s="38">
        <f>3053.2*10^5</f>
        <v>305320000</v>
      </c>
      <c r="AC8" s="117" t="s">
        <v>43</v>
      </c>
      <c r="AD8" s="38">
        <v>27061588689</v>
      </c>
      <c r="AE8" s="38">
        <v>20579834678</v>
      </c>
      <c r="AF8" s="117" t="s">
        <v>43</v>
      </c>
      <c r="AG8" s="38">
        <v>726311987</v>
      </c>
      <c r="AH8" s="38">
        <f>6501495*100</f>
        <v>650149500</v>
      </c>
    </row>
    <row r="9" spans="1:34" ht="13.8" thickBot="1">
      <c r="A9" s="37"/>
      <c r="B9" s="86"/>
      <c r="C9" s="38"/>
      <c r="D9" s="38"/>
      <c r="E9" s="39"/>
      <c r="F9" s="38"/>
      <c r="G9" s="38"/>
      <c r="H9" s="39"/>
      <c r="I9" s="38"/>
      <c r="J9" s="38"/>
      <c r="K9" s="39"/>
      <c r="L9" s="38"/>
      <c r="M9" s="38"/>
      <c r="N9" s="39"/>
      <c r="O9" s="38"/>
      <c r="P9" s="38"/>
      <c r="Q9" s="39"/>
      <c r="R9" s="38"/>
      <c r="S9" s="38"/>
      <c r="T9" s="40"/>
      <c r="U9" s="38"/>
      <c r="V9" s="38"/>
      <c r="W9" s="39"/>
      <c r="X9" s="38"/>
      <c r="Y9" s="38"/>
      <c r="Z9" s="39"/>
      <c r="AA9" s="38"/>
      <c r="AB9" s="38"/>
      <c r="AC9" s="38"/>
      <c r="AD9" s="38"/>
      <c r="AE9" s="39"/>
      <c r="AF9" s="38"/>
      <c r="AG9" s="38"/>
      <c r="AH9" s="39"/>
    </row>
    <row r="10" spans="1:34" ht="13.8" thickBot="1">
      <c r="A10" s="37" t="s">
        <v>35</v>
      </c>
      <c r="B10" s="117">
        <f>B12+B14-B16</f>
        <v>87881000</v>
      </c>
      <c r="C10" s="38">
        <f>C12+C14-C16</f>
        <v>78927360</v>
      </c>
      <c r="D10" s="38">
        <f>D12+D14-D16</f>
        <v>89678020</v>
      </c>
      <c r="E10" s="38">
        <f>E12+E16-E14</f>
        <v>99461190</v>
      </c>
      <c r="F10" s="38">
        <f t="shared" ref="F10:G10" si="0">F12+F14-F16</f>
        <v>886480193</v>
      </c>
      <c r="G10" s="38">
        <f t="shared" si="0"/>
        <v>645903970</v>
      </c>
      <c r="H10" s="38"/>
      <c r="I10" s="38">
        <f>I12+I14-I16</f>
        <v>6584120604</v>
      </c>
      <c r="J10" s="38">
        <f>J12+J14-J16</f>
        <v>7692500000</v>
      </c>
      <c r="K10" s="38"/>
      <c r="L10" s="38">
        <f>L12+L14-L16</f>
        <v>180728000</v>
      </c>
      <c r="M10" s="38">
        <f>M12+M14-M16</f>
        <v>358697000</v>
      </c>
      <c r="N10" s="38"/>
      <c r="O10" s="38">
        <f t="shared" ref="O10:P10" si="1">O12+O14-O16</f>
        <v>11242100000</v>
      </c>
      <c r="P10" s="38">
        <f t="shared" si="1"/>
        <v>8791600000</v>
      </c>
      <c r="Q10" s="38"/>
      <c r="R10" s="38">
        <f t="shared" ref="R10:S10" si="2">R12+R14-R16</f>
        <v>56841100000</v>
      </c>
      <c r="S10" s="38">
        <f t="shared" si="2"/>
        <v>53103900000</v>
      </c>
      <c r="T10" s="38"/>
      <c r="U10" s="38">
        <f t="shared" ref="U10:V10" si="3">U12+U14-U16</f>
        <v>7662813000</v>
      </c>
      <c r="V10" s="38">
        <f t="shared" si="3"/>
        <v>7371498000</v>
      </c>
      <c r="W10" s="38"/>
      <c r="X10" s="38">
        <f>X12+X14-X16</f>
        <v>17286326000</v>
      </c>
      <c r="Y10" s="38">
        <f>Y12+Y14-Y16</f>
        <v>22864719000</v>
      </c>
      <c r="Z10" s="38"/>
      <c r="AA10" s="38">
        <f t="shared" ref="AA10:AB10" si="4">AA12+AA14-AA16</f>
        <v>693023000</v>
      </c>
      <c r="AB10" s="38">
        <f t="shared" si="4"/>
        <v>297776000</v>
      </c>
      <c r="AC10" s="38"/>
      <c r="AD10" s="38">
        <f t="shared" ref="AD10:AH10" si="5">AD12+AD14-AD16</f>
        <v>25924947914</v>
      </c>
      <c r="AE10" s="38">
        <f t="shared" si="5"/>
        <v>19745818019</v>
      </c>
      <c r="AF10" s="38"/>
      <c r="AG10" s="38">
        <f t="shared" si="5"/>
        <v>714073416</v>
      </c>
      <c r="AH10" s="38">
        <f t="shared" si="5"/>
        <v>628122300</v>
      </c>
    </row>
    <row r="11" spans="1:34" ht="13.8" thickBot="1">
      <c r="A11" s="37"/>
      <c r="B11" s="86"/>
      <c r="C11" s="38"/>
      <c r="D11" s="38"/>
      <c r="E11" s="39"/>
      <c r="F11" s="38"/>
      <c r="G11" s="38"/>
      <c r="H11" s="39"/>
      <c r="I11" s="38"/>
      <c r="J11" s="38"/>
      <c r="K11" s="39"/>
      <c r="L11" s="38"/>
      <c r="M11" s="38"/>
      <c r="N11" s="39"/>
      <c r="O11" s="38"/>
      <c r="P11" s="38"/>
      <c r="Q11" s="39"/>
      <c r="R11" s="38"/>
      <c r="S11" s="38"/>
      <c r="T11" s="40"/>
      <c r="U11" s="38"/>
      <c r="V11" s="38"/>
      <c r="W11" s="39"/>
      <c r="X11" s="38"/>
      <c r="Y11" s="38"/>
      <c r="Z11" s="39"/>
      <c r="AA11" s="38"/>
      <c r="AB11" s="38"/>
      <c r="AC11" s="38"/>
      <c r="AD11" s="38"/>
      <c r="AE11" s="39"/>
      <c r="AF11" s="38"/>
      <c r="AG11" s="38"/>
      <c r="AH11" s="39"/>
    </row>
    <row r="12" spans="1:34" ht="13.8" thickBot="1">
      <c r="A12" s="37" t="s">
        <v>36</v>
      </c>
      <c r="B12" s="86">
        <f>1404*1000</f>
        <v>1404000</v>
      </c>
      <c r="C12" s="38">
        <f>2295.36*1000</f>
        <v>2295360</v>
      </c>
      <c r="D12" s="38">
        <f>2891.41*1000</f>
        <v>2891410</v>
      </c>
      <c r="E12" s="38">
        <f>428624.56*1000</f>
        <v>428624560</v>
      </c>
      <c r="F12" s="38">
        <v>226563163</v>
      </c>
      <c r="G12" s="38">
        <v>68136809</v>
      </c>
      <c r="H12" s="41"/>
      <c r="I12" s="38">
        <f>888.07303*10^5</f>
        <v>88807303</v>
      </c>
      <c r="J12" s="38">
        <f>1465*10^5</f>
        <v>146500000</v>
      </c>
      <c r="K12" s="38"/>
      <c r="L12" s="38">
        <f>1958*10^3</f>
        <v>1958000</v>
      </c>
      <c r="M12" s="38">
        <f>5238*1000</f>
        <v>5238000</v>
      </c>
      <c r="N12" s="38"/>
      <c r="O12" s="38">
        <f>6291*10^5</f>
        <v>629100000</v>
      </c>
      <c r="P12" s="38">
        <f>7072*10^5</f>
        <v>707200000</v>
      </c>
      <c r="Q12" s="38"/>
      <c r="R12" s="38">
        <f>2882*10^5</f>
        <v>288200000</v>
      </c>
      <c r="S12" s="38">
        <f>276*10^5</f>
        <v>27600000</v>
      </c>
      <c r="T12" s="38"/>
      <c r="U12" s="38">
        <f>1188.3*10^5</f>
        <v>118830000</v>
      </c>
      <c r="V12" s="38">
        <f>703.03*10^5</f>
        <v>70303000</v>
      </c>
      <c r="W12" s="38"/>
      <c r="X12" s="38">
        <f>3153.14*10^5</f>
        <v>315314000</v>
      </c>
      <c r="Y12" s="38">
        <f>4075.96*10^5</f>
        <v>407596000</v>
      </c>
      <c r="Z12" s="38"/>
      <c r="AA12" s="42">
        <f xml:space="preserve"> 658.64*10^5</f>
        <v>65864000</v>
      </c>
      <c r="AB12" s="42">
        <f>377.53*10^5</f>
        <v>37753000</v>
      </c>
      <c r="AC12" s="38"/>
      <c r="AD12" s="38">
        <v>394705297</v>
      </c>
      <c r="AE12" s="41">
        <v>384656747</v>
      </c>
      <c r="AF12" s="41"/>
      <c r="AG12" s="38">
        <f>1071607.36*100</f>
        <v>107160736.00000001</v>
      </c>
      <c r="AH12" s="38">
        <f>796534*100</f>
        <v>79653400</v>
      </c>
    </row>
    <row r="13" spans="1:34" ht="13.8" thickBot="1">
      <c r="A13" s="37"/>
      <c r="B13" s="86"/>
      <c r="C13" s="38"/>
      <c r="D13" s="38"/>
      <c r="E13" s="43"/>
      <c r="F13" s="38"/>
      <c r="G13" s="38"/>
      <c r="H13" s="43"/>
      <c r="I13" s="38"/>
      <c r="J13" s="38"/>
      <c r="K13" s="43"/>
      <c r="L13" s="38"/>
      <c r="M13" s="38"/>
      <c r="N13" s="43"/>
      <c r="O13" s="38"/>
      <c r="P13" s="38"/>
      <c r="Q13" s="43"/>
      <c r="R13" s="38"/>
      <c r="S13" s="38"/>
      <c r="T13" s="44"/>
      <c r="U13" s="38"/>
      <c r="V13" s="38"/>
      <c r="W13" s="43"/>
      <c r="X13" s="38"/>
      <c r="Y13" s="38"/>
      <c r="Z13" s="43"/>
      <c r="AA13" s="38"/>
      <c r="AB13" s="38"/>
      <c r="AC13" s="38"/>
      <c r="AD13" s="38"/>
      <c r="AE13" s="43"/>
      <c r="AF13" s="38"/>
      <c r="AG13" s="38"/>
      <c r="AH13" s="43"/>
    </row>
    <row r="14" spans="1:34" ht="13.8" thickBot="1">
      <c r="A14" s="37" t="s">
        <v>37</v>
      </c>
      <c r="B14" s="86">
        <f>87562*1000</f>
        <v>87562000</v>
      </c>
      <c r="C14" s="38">
        <f>78036*1000</f>
        <v>78036000</v>
      </c>
      <c r="D14" s="38">
        <f>89081.97*1000</f>
        <v>89081970</v>
      </c>
      <c r="E14" s="38">
        <f>458259.62*1000</f>
        <v>458259620</v>
      </c>
      <c r="F14" s="38">
        <f>1088541.59*1000</f>
        <v>1088541590</v>
      </c>
      <c r="G14" s="38">
        <v>804330324</v>
      </c>
      <c r="H14" s="38"/>
      <c r="I14" s="38">
        <v>6724543473</v>
      </c>
      <c r="J14" s="38">
        <f>76348*10^5</f>
        <v>7634800000</v>
      </c>
      <c r="K14" s="38"/>
      <c r="L14" s="38">
        <f>1828.5*10^5</f>
        <v>182850000</v>
      </c>
      <c r="M14" s="38">
        <f>355417*10^3</f>
        <v>355417000</v>
      </c>
      <c r="N14" s="38"/>
      <c r="O14" s="38">
        <f>109488*10^5</f>
        <v>10948800000</v>
      </c>
      <c r="P14" s="38">
        <f>87135*10^5</f>
        <v>8713500000</v>
      </c>
      <c r="Q14" s="38"/>
      <c r="R14" s="38">
        <f>575330*10^5</f>
        <v>57533000000</v>
      </c>
      <c r="S14" s="38">
        <f>533645*10^5</f>
        <v>53364500000</v>
      </c>
      <c r="T14" s="38"/>
      <c r="U14" s="38">
        <f>76200.81*10^5</f>
        <v>7620081000</v>
      </c>
      <c r="V14" s="38">
        <f>74200.25*10^5</f>
        <v>7420025000</v>
      </c>
      <c r="W14" s="38"/>
      <c r="X14" s="38">
        <f>173192.9*10^5</f>
        <v>17319290000</v>
      </c>
      <c r="Y14" s="38">
        <f>227724.37*10^5</f>
        <v>22772437000</v>
      </c>
      <c r="Z14" s="38"/>
      <c r="AA14" s="38">
        <f>6271.59*10^5</f>
        <v>627159000</v>
      </c>
      <c r="AB14" s="42">
        <f>3258.87*10^5</f>
        <v>325887000</v>
      </c>
      <c r="AC14" s="38"/>
      <c r="AD14" s="38">
        <v>26213205771</v>
      </c>
      <c r="AE14" s="38">
        <v>19755866569</v>
      </c>
      <c r="AF14" s="38"/>
      <c r="AG14" s="38">
        <v>731899589</v>
      </c>
      <c r="AH14" s="38">
        <f>6556296*100</f>
        <v>655629600</v>
      </c>
    </row>
    <row r="15" spans="1:34" ht="13.8" thickBot="1">
      <c r="A15" s="37"/>
      <c r="B15" s="86"/>
      <c r="C15" s="38"/>
      <c r="D15" s="38"/>
      <c r="E15" s="43"/>
      <c r="F15" s="38"/>
      <c r="G15" s="38"/>
      <c r="H15" s="43"/>
      <c r="I15" s="38"/>
      <c r="J15" s="38"/>
      <c r="K15" s="43"/>
      <c r="L15" s="38"/>
      <c r="M15" s="38"/>
      <c r="N15" s="43"/>
      <c r="O15" s="38"/>
      <c r="P15" s="38"/>
      <c r="Q15" s="43"/>
      <c r="R15" s="38"/>
      <c r="S15" s="38"/>
      <c r="T15" s="44"/>
      <c r="U15" s="38"/>
      <c r="V15" s="38"/>
      <c r="W15" s="43"/>
      <c r="X15" s="38"/>
      <c r="Y15" s="38"/>
      <c r="Z15" s="43"/>
      <c r="AA15" s="38"/>
      <c r="AB15" s="38"/>
      <c r="AC15" s="38"/>
      <c r="AD15" s="38"/>
      <c r="AE15" s="43"/>
      <c r="AF15" s="38"/>
      <c r="AG15" s="38"/>
      <c r="AH15" s="43"/>
    </row>
    <row r="16" spans="1:34" ht="13.8" thickBot="1">
      <c r="A16" s="37" t="s">
        <v>38</v>
      </c>
      <c r="B16" s="86">
        <f>1085*1000</f>
        <v>1085000</v>
      </c>
      <c r="C16" s="38">
        <f>1404*1000</f>
        <v>1404000</v>
      </c>
      <c r="D16" s="38">
        <f>2295.36*1000</f>
        <v>2295360</v>
      </c>
      <c r="E16" s="38">
        <f>129096.25*1000</f>
        <v>129096250</v>
      </c>
      <c r="F16" s="38">
        <f>428624.56*1000</f>
        <v>428624560</v>
      </c>
      <c r="G16" s="38">
        <v>226563163</v>
      </c>
      <c r="H16" s="38"/>
      <c r="I16" s="38">
        <v>229230172</v>
      </c>
      <c r="J16" s="38">
        <f>888*10^5</f>
        <v>88800000</v>
      </c>
      <c r="K16" s="38"/>
      <c r="L16" s="38">
        <f>40.8*10^5</f>
        <v>4079999.9999999995</v>
      </c>
      <c r="M16" s="38">
        <f>1958*10^3</f>
        <v>1958000</v>
      </c>
      <c r="N16" s="38"/>
      <c r="O16" s="38">
        <f>3358*10^5</f>
        <v>335800000</v>
      </c>
      <c r="P16" s="38">
        <f>6291*10^5</f>
        <v>629100000</v>
      </c>
      <c r="Q16" s="38"/>
      <c r="R16" s="38">
        <f>9801*10^5</f>
        <v>980100000</v>
      </c>
      <c r="S16" s="38">
        <f>2882*10^5</f>
        <v>288200000</v>
      </c>
      <c r="T16" s="38"/>
      <c r="U16" s="38">
        <f>760.98*10^5</f>
        <v>76098000</v>
      </c>
      <c r="V16" s="38">
        <f>1188.3*10^5</f>
        <v>118830000</v>
      </c>
      <c r="W16" s="38"/>
      <c r="X16" s="38">
        <f>3482.78*10^5</f>
        <v>348278000</v>
      </c>
      <c r="Y16" s="38">
        <f>3153.14*10^5</f>
        <v>315314000</v>
      </c>
      <c r="Z16" s="38"/>
      <c r="AA16" s="38">
        <v>0</v>
      </c>
      <c r="AB16" s="42">
        <f xml:space="preserve"> 658.64*10^5</f>
        <v>65864000</v>
      </c>
      <c r="AC16" s="38"/>
      <c r="AD16" s="38">
        <v>682963154</v>
      </c>
      <c r="AE16" s="38">
        <v>394705297</v>
      </c>
      <c r="AF16" s="41"/>
      <c r="AG16" s="38">
        <v>124986909</v>
      </c>
      <c r="AH16" s="38">
        <f>1071607*100</f>
        <v>107160700</v>
      </c>
    </row>
    <row r="17" spans="1:34" ht="13.8" thickBot="1">
      <c r="A17" s="37"/>
      <c r="B17" s="86"/>
      <c r="C17" s="38"/>
      <c r="D17" s="38"/>
      <c r="E17" s="39"/>
      <c r="F17" s="38"/>
      <c r="G17" s="38"/>
      <c r="H17" s="39"/>
      <c r="I17" s="38"/>
      <c r="J17" s="38"/>
      <c r="K17" s="39"/>
      <c r="L17" s="38"/>
      <c r="M17" s="38"/>
      <c r="N17" s="39"/>
      <c r="O17" s="38"/>
      <c r="P17" s="38"/>
      <c r="Q17" s="39"/>
      <c r="R17" s="38"/>
      <c r="S17" s="38"/>
      <c r="T17" s="40"/>
      <c r="U17" s="38"/>
      <c r="V17" s="38"/>
      <c r="W17" s="39"/>
      <c r="X17" s="38"/>
      <c r="Y17" s="38"/>
      <c r="Z17" s="39"/>
      <c r="AA17" s="38"/>
      <c r="AB17" s="38"/>
      <c r="AC17" s="45"/>
      <c r="AD17" s="38"/>
      <c r="AE17" s="39"/>
      <c r="AF17" s="38"/>
      <c r="AG17" s="38"/>
      <c r="AH17" s="39"/>
    </row>
    <row r="18" spans="1:34" ht="13.8" thickBot="1">
      <c r="A18" s="37" t="s">
        <v>39</v>
      </c>
      <c r="B18" s="85">
        <f t="shared" ref="B18:G18" si="6">B8-B10</f>
        <v>13944000</v>
      </c>
      <c r="C18" s="38">
        <f t="shared" si="6"/>
        <v>10948640</v>
      </c>
      <c r="D18" s="38">
        <f t="shared" si="6"/>
        <v>14634400</v>
      </c>
      <c r="E18" s="38">
        <f t="shared" si="6"/>
        <v>735034210</v>
      </c>
      <c r="F18" s="38">
        <f t="shared" si="6"/>
        <v>3076317</v>
      </c>
      <c r="G18" s="38">
        <f t="shared" si="6"/>
        <v>2726219</v>
      </c>
      <c r="H18" s="38"/>
      <c r="I18" s="38">
        <f t="shared" ref="I18:J18" si="7">I8-I10</f>
        <v>545591676</v>
      </c>
      <c r="J18" s="38">
        <f t="shared" si="7"/>
        <v>477200000</v>
      </c>
      <c r="K18" s="38"/>
      <c r="L18" s="38">
        <f>L8-L10</f>
        <v>28922000</v>
      </c>
      <c r="M18" s="38">
        <f>M8-M10</f>
        <v>37511000</v>
      </c>
      <c r="N18" s="38"/>
      <c r="O18" s="38">
        <f t="shared" ref="O18:P18" si="8">O8-O10</f>
        <v>1936600000</v>
      </c>
      <c r="P18" s="38">
        <f t="shared" si="8"/>
        <v>1115300000</v>
      </c>
      <c r="Q18" s="38"/>
      <c r="R18" s="38">
        <f t="shared" ref="R18:S18" si="9">R8-R10</f>
        <v>2622100000</v>
      </c>
      <c r="S18" s="38">
        <f t="shared" si="9"/>
        <v>2246400000</v>
      </c>
      <c r="T18" s="38"/>
      <c r="U18" s="38">
        <f>U8-U10</f>
        <v>569640999.99999905</v>
      </c>
      <c r="V18" s="38">
        <f>V8-V10</f>
        <v>430922000</v>
      </c>
      <c r="W18" s="38"/>
      <c r="X18" s="38">
        <f>X8-X10</f>
        <v>2006203000</v>
      </c>
      <c r="Y18" s="38">
        <f>Y8-Y10</f>
        <v>2034031000</v>
      </c>
      <c r="Z18" s="38"/>
      <c r="AA18" s="38">
        <f t="shared" ref="AA18:AB18" si="10">AA8-AA10</f>
        <v>-130000</v>
      </c>
      <c r="AB18" s="38">
        <f t="shared" si="10"/>
        <v>7544000</v>
      </c>
      <c r="AC18" s="38"/>
      <c r="AD18" s="38">
        <f>AD8-AD10</f>
        <v>1136640775</v>
      </c>
      <c r="AE18" s="38">
        <f>AE8-AE10</f>
        <v>834016659</v>
      </c>
      <c r="AF18" s="38"/>
      <c r="AG18" s="38">
        <f>AG8-AG10</f>
        <v>12238571</v>
      </c>
      <c r="AH18" s="38">
        <f>AH8-AH10</f>
        <v>22027200</v>
      </c>
    </row>
    <row r="19" spans="1:34" ht="13.8" thickBot="1">
      <c r="A19" s="37"/>
      <c r="B19" s="37"/>
      <c r="C19" s="38"/>
      <c r="D19" s="37"/>
      <c r="E19" s="38"/>
      <c r="F19" s="38"/>
      <c r="G19" s="37"/>
      <c r="H19" s="38"/>
      <c r="I19" s="38"/>
      <c r="J19" s="37"/>
      <c r="K19" s="38"/>
      <c r="L19" s="38"/>
      <c r="M19" s="37"/>
      <c r="N19" s="45"/>
      <c r="O19" s="38"/>
      <c r="P19" s="37"/>
      <c r="Q19" s="38"/>
      <c r="R19" s="38"/>
      <c r="S19" s="46"/>
      <c r="T19" s="38"/>
      <c r="U19" s="38"/>
      <c r="V19" s="37"/>
      <c r="W19" s="38"/>
      <c r="X19" s="38"/>
      <c r="Y19" s="37"/>
      <c r="Z19" s="38"/>
      <c r="AA19" s="38"/>
      <c r="AB19" s="38"/>
      <c r="AC19" s="38"/>
      <c r="AD19" s="38"/>
      <c r="AE19" s="37"/>
      <c r="AF19" s="38"/>
      <c r="AG19" s="38"/>
      <c r="AH19" s="37"/>
    </row>
    <row r="20" spans="1:34" ht="13.8" thickBot="1">
      <c r="A20" s="37" t="s">
        <v>40</v>
      </c>
      <c r="B20" s="84">
        <f>B18/B8</f>
        <v>0.13694082985514364</v>
      </c>
      <c r="C20" s="47">
        <f t="shared" ref="C20:D20" si="11">C18/C8</f>
        <v>0.12181939561173172</v>
      </c>
      <c r="D20" s="47">
        <f t="shared" si="11"/>
        <v>0.14029393623501402</v>
      </c>
      <c r="E20" s="47">
        <f>E18/E8</f>
        <v>0.88081277619984488</v>
      </c>
      <c r="F20" s="47">
        <f t="shared" ref="F20:S20" si="12">F18/F8</f>
        <v>3.4582592172812047E-3</v>
      </c>
      <c r="G20" s="47">
        <f>G18/G8</f>
        <v>4.2030405710888055E-3</v>
      </c>
      <c r="H20" s="47"/>
      <c r="I20" s="47">
        <f t="shared" si="12"/>
        <v>7.6523659661621016E-2</v>
      </c>
      <c r="J20" s="47">
        <f>J18/J8</f>
        <v>5.8410957562701198E-2</v>
      </c>
      <c r="K20" s="47"/>
      <c r="L20" s="47">
        <f t="shared" si="12"/>
        <v>0.13795373241116146</v>
      </c>
      <c r="M20" s="47">
        <f t="shared" si="12"/>
        <v>9.4675019181843886E-2</v>
      </c>
      <c r="N20" s="47"/>
      <c r="O20" s="47">
        <f>O18/O8</f>
        <v>0.1469492438556155</v>
      </c>
      <c r="P20" s="47">
        <f>P18/P8</f>
        <v>0.1125781021308381</v>
      </c>
      <c r="Q20" s="47"/>
      <c r="R20" s="47">
        <f>R18/R8</f>
        <v>4.4096180494827053E-2</v>
      </c>
      <c r="S20" s="47">
        <f t="shared" si="12"/>
        <v>4.0585145879968129E-2</v>
      </c>
      <c r="T20" s="47"/>
      <c r="U20" s="47">
        <f>U18/U8</f>
        <v>6.9194556082548306E-2</v>
      </c>
      <c r="V20" s="47">
        <f t="shared" ref="V20:AD20" si="13">V18/V8</f>
        <v>5.5229275019801551E-2</v>
      </c>
      <c r="W20" s="47"/>
      <c r="X20" s="47">
        <f t="shared" si="13"/>
        <v>0.10398859579270296</v>
      </c>
      <c r="Y20" s="47">
        <f t="shared" si="13"/>
        <v>8.1692092976555053E-2</v>
      </c>
      <c r="Z20" s="47"/>
      <c r="AA20" s="47">
        <f t="shared" si="13"/>
        <v>-1.8761915620449333E-4</v>
      </c>
      <c r="AB20" s="47">
        <f t="shared" si="13"/>
        <v>2.4708502554696712E-2</v>
      </c>
      <c r="AC20" s="48"/>
      <c r="AD20" s="47">
        <f t="shared" si="13"/>
        <v>4.2001997298186045E-2</v>
      </c>
      <c r="AE20" s="47">
        <f>AE18/AE8</f>
        <v>4.0525916366644585E-2</v>
      </c>
      <c r="AF20" s="47"/>
      <c r="AG20" s="47">
        <f t="shared" ref="AG20" si="14">AG18/AG8</f>
        <v>1.6850294665452081E-2</v>
      </c>
      <c r="AH20" s="47">
        <f>AH18/AH8</f>
        <v>3.3880207552262981E-2</v>
      </c>
    </row>
    <row r="21" spans="1:34" ht="13.8" thickBot="1">
      <c r="A21" s="37"/>
      <c r="B21" s="37"/>
      <c r="C21" s="37"/>
      <c r="D21" s="37"/>
      <c r="E21" s="49"/>
      <c r="F21" s="49"/>
      <c r="G21" s="37"/>
      <c r="H21" s="49"/>
      <c r="I21" s="49"/>
      <c r="J21" s="37"/>
      <c r="K21" s="49"/>
      <c r="L21" s="49"/>
      <c r="M21" s="37"/>
      <c r="N21" s="49"/>
      <c r="O21" s="49"/>
      <c r="P21" s="37"/>
      <c r="Q21" s="49"/>
      <c r="R21" s="49"/>
      <c r="S21" s="37"/>
      <c r="T21" s="47"/>
      <c r="U21" s="49"/>
      <c r="V21" s="37"/>
      <c r="W21" s="49"/>
      <c r="X21" s="49"/>
      <c r="Y21" s="37"/>
      <c r="Z21" s="49"/>
      <c r="AA21" s="49"/>
      <c r="AB21" s="49"/>
      <c r="AC21" s="49"/>
      <c r="AD21" s="49"/>
      <c r="AE21" s="37"/>
      <c r="AF21" s="49"/>
      <c r="AG21" s="37"/>
      <c r="AH21" s="37"/>
    </row>
    <row r="22" spans="1:34" ht="15" customHeight="1" thickBot="1">
      <c r="A22" s="50" t="s">
        <v>41</v>
      </c>
      <c r="B22" s="160">
        <f>SUM(B18:D18)/SUM(B8:D8)</f>
        <v>0.13353124327944321</v>
      </c>
      <c r="C22" s="161"/>
      <c r="D22" s="161"/>
      <c r="E22" s="160">
        <f>SUM(E18:G18)/SUM(E8:G8)</f>
        <v>0.31223599078537995</v>
      </c>
      <c r="F22" s="161"/>
      <c r="G22" s="161"/>
      <c r="H22" s="160">
        <f>SUM(H18:J18)/SUM(H8:J8)</f>
        <v>6.6851697129374957E-2</v>
      </c>
      <c r="I22" s="161"/>
      <c r="J22" s="161"/>
      <c r="K22" s="160">
        <f>SUM(K18:M18)/SUM(K8:M8)</f>
        <v>0.10965110636485777</v>
      </c>
      <c r="L22" s="161"/>
      <c r="M22" s="161"/>
      <c r="N22" s="160">
        <f>SUM(N18:P18)/SUM(N8:P8)</f>
        <v>0.13219929306580724</v>
      </c>
      <c r="O22" s="161"/>
      <c r="P22" s="161"/>
      <c r="Q22" s="160">
        <f>SUM(Q18:S18)/SUM(Q8:S8)</f>
        <v>4.2403550105170558E-2</v>
      </c>
      <c r="R22" s="161"/>
      <c r="S22" s="161"/>
      <c r="T22" s="160">
        <f>SUM(T18:V18)/SUM(T8:V8)</f>
        <v>6.239918068579766E-2</v>
      </c>
      <c r="U22" s="161"/>
      <c r="V22" s="161"/>
      <c r="W22" s="160">
        <f>SUM(W18:Y18)/SUM(W8:Y8)</f>
        <v>9.1426048112343616E-2</v>
      </c>
      <c r="X22" s="161"/>
      <c r="Y22" s="161"/>
      <c r="Z22" s="160">
        <f>SUM(Z18:AB18)/SUM(Z8:AB8)</f>
        <v>7.4272725360218714E-3</v>
      </c>
      <c r="AA22" s="161"/>
      <c r="AB22" s="161"/>
      <c r="AC22" s="160">
        <f>SUM(AC18:AE18)/SUM(AC8:AE8)</f>
        <v>4.1364369381226847E-2</v>
      </c>
      <c r="AD22" s="161"/>
      <c r="AE22" s="161"/>
      <c r="AF22" s="160">
        <f>SUM(AF18:AH18)/SUM(AF8:AH8)</f>
        <v>2.4894100796588433E-2</v>
      </c>
      <c r="AG22" s="161"/>
      <c r="AH22" s="162"/>
    </row>
  </sheetData>
  <pageMargins left="0.7" right="0.7" top="0.75" bottom="0.75" header="0.3" footer="0.3"/>
  <pageSetup scale="34" orientation="portrait" r:id="rId1"/>
  <colBreaks count="1" manualBreakCount="1">
    <brk id="27" max="21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4BF-3E21-4AB2-B6B9-7686B834354F}">
  <dimension ref="A1:AT25"/>
  <sheetViews>
    <sheetView showGridLines="0" zoomScale="80" zoomScaleNormal="80" zoomScaleSheetLayoutView="80" workbookViewId="0">
      <pane xSplit="2" ySplit="7" topLeftCell="C8" activePane="bottomRight" state="frozen"/>
      <selection pane="topRight" activeCell="J7" sqref="J7"/>
      <selection pane="bottomLeft" activeCell="J7" sqref="J7"/>
      <selection pane="bottomRight" activeCell="B4" sqref="B4:B6"/>
    </sheetView>
  </sheetViews>
  <sheetFormatPr defaultColWidth="10" defaultRowHeight="13.2"/>
  <cols>
    <col min="1" max="1" width="10" style="2"/>
    <col min="2" max="2" width="30.33203125" style="2" bestFit="1" customWidth="1"/>
    <col min="3" max="3" width="16.6640625" style="2" customWidth="1"/>
    <col min="4" max="4" width="17.6640625" style="2" customWidth="1"/>
    <col min="5" max="7" width="17.5546875" style="2" customWidth="1"/>
    <col min="8" max="8" width="17.6640625" style="2" customWidth="1"/>
    <col min="9" max="11" width="17.33203125" style="2" customWidth="1"/>
    <col min="12" max="12" width="18.33203125" style="2" customWidth="1"/>
    <col min="13" max="13" width="17.6640625" style="2" customWidth="1"/>
    <col min="14" max="15" width="20.33203125" style="2" customWidth="1"/>
    <col min="16" max="16" width="19" style="2" customWidth="1"/>
    <col min="17" max="17" width="17.6640625" style="2" customWidth="1"/>
    <col min="18" max="19" width="17.33203125" style="2" customWidth="1"/>
    <col min="20" max="20" width="19.44140625" style="2" customWidth="1"/>
    <col min="21" max="21" width="19.5546875" style="2" customWidth="1"/>
    <col min="22" max="23" width="17.33203125" style="2" customWidth="1"/>
    <col min="24" max="24" width="18.33203125" style="2" customWidth="1"/>
    <col min="25" max="25" width="17.6640625" style="2" customWidth="1"/>
    <col min="26" max="27" width="19.6640625" style="2" customWidth="1"/>
    <col min="28" max="28" width="17.6640625" style="2" customWidth="1"/>
    <col min="29" max="31" width="17.5546875" style="2" customWidth="1"/>
    <col min="32" max="32" width="17.6640625" style="2" customWidth="1"/>
    <col min="33" max="35" width="21.5546875" style="2" customWidth="1"/>
    <col min="36" max="36" width="21.6640625" style="2" customWidth="1"/>
    <col min="37" max="39" width="18.44140625" style="2" customWidth="1"/>
    <col min="40" max="40" width="21.6640625" style="2" customWidth="1"/>
    <col min="41" max="43" width="18.44140625" style="2" customWidth="1"/>
    <col min="44" max="44" width="21.6640625" style="2" customWidth="1"/>
    <col min="45" max="46" width="18.44140625" style="2" customWidth="1"/>
    <col min="47" max="16384" width="10" style="2"/>
  </cols>
  <sheetData>
    <row r="1" spans="1:46">
      <c r="A1" s="101"/>
      <c r="X1" s="92"/>
      <c r="Y1" s="92"/>
      <c r="Z1" s="93"/>
    </row>
    <row r="2" spans="1:46">
      <c r="B2" s="3" t="s">
        <v>42</v>
      </c>
      <c r="C2" s="3"/>
      <c r="D2" s="3"/>
      <c r="H2" s="3"/>
      <c r="L2" s="3"/>
      <c r="Q2" s="3"/>
      <c r="U2" s="99"/>
      <c r="X2" s="11">
        <v>0.69299999999999995</v>
      </c>
      <c r="Y2" s="11">
        <v>0.66479999999999995</v>
      </c>
      <c r="Z2" s="102">
        <v>0.62319999999999998</v>
      </c>
      <c r="AA2" s="103"/>
      <c r="AB2" s="3"/>
      <c r="AF2" s="3"/>
    </row>
    <row r="3" spans="1:46" ht="13.8" thickBot="1">
      <c r="B3" s="3"/>
      <c r="C3" s="3"/>
      <c r="D3" s="141"/>
      <c r="E3" s="141"/>
      <c r="F3" s="141"/>
      <c r="G3" s="100"/>
      <c r="H3" s="141"/>
      <c r="I3" s="141"/>
      <c r="J3" s="141"/>
      <c r="K3" s="100"/>
      <c r="L3" s="141"/>
      <c r="M3" s="141"/>
      <c r="N3" s="141"/>
      <c r="O3" s="100"/>
      <c r="P3" s="142"/>
      <c r="Q3" s="142"/>
      <c r="R3" s="142"/>
      <c r="S3" s="98"/>
      <c r="T3" s="142"/>
      <c r="U3" s="142"/>
      <c r="V3" s="142"/>
      <c r="W3" s="98"/>
      <c r="X3" s="142"/>
      <c r="Y3" s="142"/>
      <c r="Z3" s="142"/>
      <c r="AA3" s="98"/>
      <c r="AB3" s="141"/>
      <c r="AC3" s="141"/>
      <c r="AD3" s="141"/>
      <c r="AE3" s="100"/>
      <c r="AF3" s="141"/>
      <c r="AG3" s="141"/>
      <c r="AH3" s="141"/>
      <c r="AI3" s="104"/>
      <c r="AJ3" s="104"/>
      <c r="AN3" s="104"/>
      <c r="AR3" s="105"/>
    </row>
    <row r="4" spans="1:46" s="73" customFormat="1" ht="15.6" customHeight="1" thickBot="1">
      <c r="B4" s="132" t="s">
        <v>44</v>
      </c>
      <c r="C4" s="133" t="s">
        <v>17</v>
      </c>
      <c r="D4" s="134"/>
      <c r="E4" s="134"/>
      <c r="F4" s="134"/>
      <c r="G4" s="134" t="s">
        <v>45</v>
      </c>
      <c r="H4" s="134"/>
      <c r="I4" s="134"/>
      <c r="J4" s="134"/>
      <c r="K4" s="134" t="s">
        <v>28</v>
      </c>
      <c r="L4" s="134"/>
      <c r="M4" s="134"/>
      <c r="N4" s="134"/>
      <c r="O4" s="134" t="s">
        <v>29</v>
      </c>
      <c r="P4" s="134"/>
      <c r="Q4" s="134"/>
      <c r="R4" s="134"/>
      <c r="S4" s="134" t="s">
        <v>31</v>
      </c>
      <c r="T4" s="134"/>
      <c r="U4" s="134"/>
      <c r="V4" s="134"/>
      <c r="W4" s="134" t="s">
        <v>30</v>
      </c>
      <c r="X4" s="134"/>
      <c r="Y4" s="134"/>
      <c r="Z4" s="134"/>
      <c r="AA4" s="134" t="s">
        <v>46</v>
      </c>
      <c r="AB4" s="134"/>
      <c r="AC4" s="134"/>
      <c r="AD4" s="145"/>
      <c r="AE4" s="133" t="s">
        <v>47</v>
      </c>
      <c r="AF4" s="134"/>
      <c r="AG4" s="134"/>
      <c r="AH4" s="134"/>
      <c r="AI4" s="138" t="s">
        <v>8</v>
      </c>
      <c r="AJ4" s="138"/>
      <c r="AK4" s="138"/>
      <c r="AL4" s="143"/>
      <c r="AM4" s="137" t="s">
        <v>32</v>
      </c>
      <c r="AN4" s="138"/>
      <c r="AO4" s="138"/>
      <c r="AP4" s="143"/>
      <c r="AQ4" s="137" t="s">
        <v>33</v>
      </c>
      <c r="AR4" s="138"/>
      <c r="AS4" s="138"/>
      <c r="AT4" s="138"/>
    </row>
    <row r="5" spans="1:46" s="73" customFormat="1" ht="15.6" customHeight="1" thickBot="1">
      <c r="B5" s="132"/>
      <c r="C5" s="135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46"/>
      <c r="AE5" s="135"/>
      <c r="AF5" s="136"/>
      <c r="AG5" s="136"/>
      <c r="AH5" s="136"/>
      <c r="AI5" s="140"/>
      <c r="AJ5" s="140"/>
      <c r="AK5" s="140"/>
      <c r="AL5" s="144"/>
      <c r="AM5" s="139"/>
      <c r="AN5" s="140"/>
      <c r="AO5" s="140"/>
      <c r="AP5" s="144"/>
      <c r="AQ5" s="139"/>
      <c r="AR5" s="140"/>
      <c r="AS5" s="140"/>
      <c r="AT5" s="140"/>
    </row>
    <row r="6" spans="1:46" ht="13.8" thickBot="1">
      <c r="B6" s="132"/>
      <c r="C6" s="31" t="s">
        <v>68</v>
      </c>
      <c r="D6" s="31" t="s">
        <v>69</v>
      </c>
      <c r="E6" s="31" t="s">
        <v>70</v>
      </c>
      <c r="F6" s="31" t="s">
        <v>71</v>
      </c>
      <c r="G6" s="31" t="s">
        <v>68</v>
      </c>
      <c r="H6" s="31" t="s">
        <v>69</v>
      </c>
      <c r="I6" s="31" t="s">
        <v>70</v>
      </c>
      <c r="J6" s="31" t="s">
        <v>71</v>
      </c>
      <c r="K6" s="31" t="s">
        <v>68</v>
      </c>
      <c r="L6" s="31" t="s">
        <v>69</v>
      </c>
      <c r="M6" s="31" t="s">
        <v>70</v>
      </c>
      <c r="N6" s="31" t="s">
        <v>71</v>
      </c>
      <c r="O6" s="31" t="s">
        <v>68</v>
      </c>
      <c r="P6" s="31" t="s">
        <v>69</v>
      </c>
      <c r="Q6" s="31" t="s">
        <v>70</v>
      </c>
      <c r="R6" s="31" t="s">
        <v>71</v>
      </c>
      <c r="S6" s="31" t="s">
        <v>68</v>
      </c>
      <c r="T6" s="31" t="s">
        <v>69</v>
      </c>
      <c r="U6" s="31" t="s">
        <v>70</v>
      </c>
      <c r="V6" s="31" t="s">
        <v>71</v>
      </c>
      <c r="W6" s="31" t="s">
        <v>68</v>
      </c>
      <c r="X6" s="31" t="s">
        <v>69</v>
      </c>
      <c r="Y6" s="31" t="s">
        <v>70</v>
      </c>
      <c r="Z6" s="31" t="s">
        <v>71</v>
      </c>
      <c r="AA6" s="31" t="s">
        <v>68</v>
      </c>
      <c r="AB6" s="31" t="s">
        <v>69</v>
      </c>
      <c r="AC6" s="31" t="s">
        <v>70</v>
      </c>
      <c r="AD6" s="31" t="s">
        <v>71</v>
      </c>
      <c r="AE6" s="31" t="s">
        <v>68</v>
      </c>
      <c r="AF6" s="31" t="s">
        <v>69</v>
      </c>
      <c r="AG6" s="31" t="s">
        <v>70</v>
      </c>
      <c r="AH6" s="31" t="s">
        <v>71</v>
      </c>
      <c r="AI6" s="31" t="s">
        <v>68</v>
      </c>
      <c r="AJ6" s="31" t="s">
        <v>69</v>
      </c>
      <c r="AK6" s="31" t="s">
        <v>70</v>
      </c>
      <c r="AL6" s="31" t="s">
        <v>71</v>
      </c>
      <c r="AM6" s="31" t="s">
        <v>68</v>
      </c>
      <c r="AN6" s="31" t="s">
        <v>69</v>
      </c>
      <c r="AO6" s="31" t="s">
        <v>70</v>
      </c>
      <c r="AP6" s="31" t="s">
        <v>71</v>
      </c>
      <c r="AQ6" s="31" t="s">
        <v>68</v>
      </c>
      <c r="AR6" s="31" t="s">
        <v>69</v>
      </c>
      <c r="AS6" s="31" t="s">
        <v>70</v>
      </c>
      <c r="AT6" s="31" t="s">
        <v>71</v>
      </c>
    </row>
    <row r="7" spans="1:46" ht="13.8" thickBot="1">
      <c r="B7" s="106" t="s">
        <v>48</v>
      </c>
      <c r="C7" s="116" t="s">
        <v>43</v>
      </c>
      <c r="D7" s="66">
        <f>11611*1000</f>
        <v>11611000</v>
      </c>
      <c r="E7" s="66">
        <f>20875.16*1000</f>
        <v>20875160</v>
      </c>
      <c r="F7" s="66">
        <f>23598*1000</f>
        <v>23598000</v>
      </c>
      <c r="G7" s="116" t="s">
        <v>43</v>
      </c>
      <c r="H7" s="66">
        <v>613981760</v>
      </c>
      <c r="I7" s="66">
        <v>236620021</v>
      </c>
      <c r="J7" s="66">
        <v>108951025</v>
      </c>
      <c r="K7" s="116" t="s">
        <v>43</v>
      </c>
      <c r="L7" s="66">
        <v>1623846880</v>
      </c>
      <c r="M7" s="66">
        <f>(198+18264)*10^5</f>
        <v>1846200000</v>
      </c>
      <c r="N7" s="67">
        <f>15426.15*10^5</f>
        <v>1542615000</v>
      </c>
      <c r="O7" s="116" t="s">
        <v>43</v>
      </c>
      <c r="P7" s="91">
        <v>34008000</v>
      </c>
      <c r="Q7" s="66">
        <f>25242*10^3</f>
        <v>25242000</v>
      </c>
      <c r="R7" s="66">
        <v>25060205</v>
      </c>
      <c r="S7" s="116" t="s">
        <v>43</v>
      </c>
      <c r="T7" s="91">
        <v>13463000000</v>
      </c>
      <c r="U7" s="66">
        <v>10727200000</v>
      </c>
      <c r="V7" s="66">
        <f>87547*10^5</f>
        <v>8754700000</v>
      </c>
      <c r="W7" s="116" t="s">
        <v>43</v>
      </c>
      <c r="X7" s="66">
        <f>(54414*10^5)*69.3%</f>
        <v>3770890199.9999995</v>
      </c>
      <c r="Y7" s="66">
        <f>(49981*10^5)*66.48%</f>
        <v>3322736880.0000005</v>
      </c>
      <c r="Z7" s="66">
        <f>(51584*10^5)*62.32%</f>
        <v>3214714880</v>
      </c>
      <c r="AA7" s="116" t="s">
        <v>43</v>
      </c>
      <c r="AB7" s="66">
        <f>22892.23*10^5</f>
        <v>2289223000</v>
      </c>
      <c r="AC7" s="66">
        <f>12425.69*10^5</f>
        <v>1242569000</v>
      </c>
      <c r="AD7" s="66">
        <v>838135756</v>
      </c>
      <c r="AE7" s="116" t="s">
        <v>43</v>
      </c>
      <c r="AF7" s="66">
        <v>3994569000</v>
      </c>
      <c r="AG7" s="66">
        <f>26978.42*10^5</f>
        <v>2697842000</v>
      </c>
      <c r="AH7" s="66">
        <f>39023.17*10^5</f>
        <v>3902317000</v>
      </c>
      <c r="AI7" s="116" t="s">
        <v>43</v>
      </c>
      <c r="AJ7" s="107">
        <v>551624000</v>
      </c>
      <c r="AK7" s="66">
        <v>629374000</v>
      </c>
      <c r="AL7" s="66">
        <v>556907000</v>
      </c>
      <c r="AM7" s="116" t="s">
        <v>43</v>
      </c>
      <c r="AN7" s="107">
        <v>3446171403</v>
      </c>
      <c r="AO7" s="66">
        <v>2777857847</v>
      </c>
      <c r="AP7" s="66">
        <v>1854191148</v>
      </c>
      <c r="AQ7" s="116" t="s">
        <v>43</v>
      </c>
      <c r="AR7" s="66">
        <v>122319694</v>
      </c>
      <c r="AS7" s="107">
        <v>92429200</v>
      </c>
      <c r="AT7" s="107">
        <v>68385883</v>
      </c>
    </row>
    <row r="8" spans="1:46" ht="13.8" thickBot="1">
      <c r="B8" s="106" t="s">
        <v>49</v>
      </c>
      <c r="C8" s="116" t="s">
        <v>43</v>
      </c>
      <c r="D8" s="66"/>
      <c r="E8" s="66"/>
      <c r="F8" s="66"/>
      <c r="G8" s="116" t="s">
        <v>43</v>
      </c>
      <c r="H8" s="66"/>
      <c r="I8" s="66"/>
      <c r="J8" s="66"/>
      <c r="K8" s="116" t="s">
        <v>43</v>
      </c>
      <c r="L8" s="108">
        <v>4623507</v>
      </c>
      <c r="M8" s="66">
        <f>64*10^5</f>
        <v>6400000</v>
      </c>
      <c r="N8" s="67">
        <f>136.81*10^5</f>
        <v>13681000</v>
      </c>
      <c r="O8" s="116" t="s">
        <v>43</v>
      </c>
      <c r="P8" s="106"/>
      <c r="Q8" s="66"/>
      <c r="R8" s="66"/>
      <c r="S8" s="116" t="s">
        <v>43</v>
      </c>
      <c r="T8" s="106"/>
      <c r="U8" s="66"/>
      <c r="V8" s="66">
        <f>1340*10^5</f>
        <v>134000000</v>
      </c>
      <c r="W8" s="116" t="s">
        <v>43</v>
      </c>
      <c r="X8" s="106"/>
      <c r="Y8" s="66"/>
      <c r="Z8" s="66"/>
      <c r="AA8" s="116" t="s">
        <v>43</v>
      </c>
      <c r="AB8" s="66"/>
      <c r="AC8" s="66"/>
      <c r="AD8" s="66"/>
      <c r="AE8" s="116" t="s">
        <v>43</v>
      </c>
      <c r="AF8" s="66"/>
      <c r="AG8" s="66"/>
      <c r="AH8" s="67"/>
      <c r="AI8" s="116" t="s">
        <v>43</v>
      </c>
      <c r="AJ8" s="67"/>
      <c r="AK8" s="107"/>
      <c r="AL8" s="107"/>
      <c r="AM8" s="116" t="s">
        <v>43</v>
      </c>
      <c r="AN8" s="67"/>
      <c r="AO8" s="66"/>
      <c r="AP8" s="66"/>
      <c r="AQ8" s="116" t="s">
        <v>43</v>
      </c>
      <c r="AR8" s="66"/>
      <c r="AS8" s="107"/>
      <c r="AT8" s="107"/>
    </row>
    <row r="9" spans="1:46" ht="27" thickBot="1">
      <c r="B9" s="106" t="s">
        <v>50</v>
      </c>
      <c r="C9" s="116" t="s">
        <v>43</v>
      </c>
      <c r="D9" s="91">
        <f>38*1000</f>
        <v>38000</v>
      </c>
      <c r="E9" s="66"/>
      <c r="F9" s="66"/>
      <c r="G9" s="116" t="s">
        <v>43</v>
      </c>
      <c r="H9" s="66">
        <v>2499050</v>
      </c>
      <c r="I9" s="66">
        <v>3586975</v>
      </c>
      <c r="J9" s="66">
        <v>3489221</v>
      </c>
      <c r="K9" s="116" t="s">
        <v>43</v>
      </c>
      <c r="L9" s="66">
        <v>16772727</v>
      </c>
      <c r="M9" s="66">
        <f>(769)*10^5</f>
        <v>76900000</v>
      </c>
      <c r="N9" s="67">
        <f>115.47*10^5</f>
        <v>11547000</v>
      </c>
      <c r="O9" s="116" t="s">
        <v>43</v>
      </c>
      <c r="P9" s="106"/>
      <c r="Q9" s="66"/>
      <c r="R9" s="66"/>
      <c r="S9" s="116" t="s">
        <v>43</v>
      </c>
      <c r="T9" s="109">
        <v>53500000</v>
      </c>
      <c r="U9" s="66">
        <f xml:space="preserve"> 203 *10^5</f>
        <v>20300000</v>
      </c>
      <c r="V9" s="66">
        <f>339*10^5</f>
        <v>33900000</v>
      </c>
      <c r="W9" s="116" t="s">
        <v>43</v>
      </c>
      <c r="X9" s="66">
        <f>((21459)*10^5)*69.3%</f>
        <v>1487108700</v>
      </c>
      <c r="Y9" s="66">
        <f>((18368)*10^5)*66.48%</f>
        <v>1221104640</v>
      </c>
      <c r="Z9" s="66">
        <f>(13150*10^5)*62.32%</f>
        <v>819508000</v>
      </c>
      <c r="AA9" s="116" t="s">
        <v>43</v>
      </c>
      <c r="AB9" s="66">
        <f>(3.08+ 56.53)*10^5</f>
        <v>5961000</v>
      </c>
      <c r="AC9" s="66">
        <f>164.44*10^5</f>
        <v>16444000</v>
      </c>
      <c r="AD9" s="66">
        <v>28783354</v>
      </c>
      <c r="AE9" s="116" t="s">
        <v>43</v>
      </c>
      <c r="AF9" s="66">
        <v>151887000</v>
      </c>
      <c r="AG9" s="66">
        <f>(575.22+561.13)*10^5</f>
        <v>113634999.99999999</v>
      </c>
      <c r="AH9" s="66">
        <f>(997.44+321.73)*10^5</f>
        <v>131917000</v>
      </c>
      <c r="AI9" s="116" t="s">
        <v>43</v>
      </c>
      <c r="AJ9" s="107"/>
      <c r="AK9" s="107"/>
      <c r="AL9" s="107"/>
      <c r="AM9" s="116" t="s">
        <v>43</v>
      </c>
      <c r="AN9" s="107"/>
      <c r="AO9" s="66"/>
      <c r="AP9" s="66"/>
      <c r="AQ9" s="116" t="s">
        <v>43</v>
      </c>
      <c r="AR9" s="66"/>
      <c r="AS9" s="107"/>
      <c r="AT9" s="107"/>
    </row>
    <row r="10" spans="1:46" ht="13.8" thickBot="1">
      <c r="B10" s="106" t="s">
        <v>51</v>
      </c>
      <c r="C10" s="116" t="s">
        <v>43</v>
      </c>
      <c r="D10" s="67"/>
      <c r="E10" s="67"/>
      <c r="F10" s="67"/>
      <c r="G10" s="116" t="s">
        <v>43</v>
      </c>
      <c r="H10" s="67"/>
      <c r="I10" s="67"/>
      <c r="J10" s="67"/>
      <c r="K10" s="116" t="s">
        <v>43</v>
      </c>
      <c r="L10" s="106"/>
      <c r="M10" s="67"/>
      <c r="N10" s="67"/>
      <c r="O10" s="116" t="s">
        <v>43</v>
      </c>
      <c r="P10" s="106"/>
      <c r="Q10" s="67"/>
      <c r="R10" s="67"/>
      <c r="S10" s="116" t="s">
        <v>43</v>
      </c>
      <c r="T10" s="106"/>
      <c r="U10" s="67"/>
      <c r="V10" s="67"/>
      <c r="W10" s="116" t="s">
        <v>43</v>
      </c>
      <c r="X10" s="106"/>
      <c r="Y10" s="67"/>
      <c r="Z10" s="67"/>
      <c r="AA10" s="116" t="s">
        <v>43</v>
      </c>
      <c r="AB10" s="67"/>
      <c r="AC10" s="67"/>
      <c r="AD10" s="67"/>
      <c r="AE10" s="116" t="s">
        <v>43</v>
      </c>
      <c r="AF10" s="67"/>
      <c r="AG10" s="67"/>
      <c r="AH10" s="67"/>
      <c r="AI10" s="116" t="s">
        <v>43</v>
      </c>
      <c r="AJ10" s="67"/>
      <c r="AK10" s="107"/>
      <c r="AL10" s="107"/>
      <c r="AM10" s="116" t="s">
        <v>43</v>
      </c>
      <c r="AN10" s="67"/>
      <c r="AO10" s="107"/>
      <c r="AP10" s="107"/>
      <c r="AQ10" s="116" t="s">
        <v>43</v>
      </c>
      <c r="AR10" s="67"/>
      <c r="AS10" s="107"/>
      <c r="AT10" s="107"/>
    </row>
    <row r="11" spans="1:46" ht="13.8" thickBot="1">
      <c r="B11" s="106"/>
      <c r="C11" s="91"/>
      <c r="D11" s="67"/>
      <c r="E11" s="67"/>
      <c r="F11" s="67"/>
      <c r="G11" s="67"/>
      <c r="H11" s="67"/>
      <c r="I11" s="67"/>
      <c r="J11" s="67"/>
      <c r="K11" s="67"/>
      <c r="L11" s="106"/>
      <c r="M11" s="67"/>
      <c r="N11" s="67"/>
      <c r="O11" s="67"/>
      <c r="P11" s="106"/>
      <c r="Q11" s="67"/>
      <c r="R11" s="67"/>
      <c r="S11" s="67"/>
      <c r="T11" s="106"/>
      <c r="U11" s="67"/>
      <c r="V11" s="67"/>
      <c r="W11" s="67"/>
      <c r="X11" s="106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110"/>
      <c r="AK11" s="107"/>
      <c r="AL11" s="107"/>
      <c r="AM11" s="107"/>
      <c r="AN11" s="110"/>
      <c r="AO11" s="107"/>
      <c r="AP11" s="107"/>
      <c r="AQ11" s="107"/>
      <c r="AR11" s="110"/>
      <c r="AS11" s="107"/>
      <c r="AT11" s="107"/>
    </row>
    <row r="12" spans="1:46" ht="13.8" thickBot="1">
      <c r="B12" s="106" t="s">
        <v>52</v>
      </c>
      <c r="C12" s="87">
        <f>SUM(C7:C10)</f>
        <v>0</v>
      </c>
      <c r="D12" s="66">
        <f>SUM(D7:D10)</f>
        <v>11649000</v>
      </c>
      <c r="E12" s="67">
        <f t="shared" ref="E12:L12" si="0">SUM(E7:E10)</f>
        <v>20875160</v>
      </c>
      <c r="F12" s="67">
        <f t="shared" si="0"/>
        <v>23598000</v>
      </c>
      <c r="G12" s="66">
        <f t="shared" si="0"/>
        <v>0</v>
      </c>
      <c r="H12" s="66">
        <f t="shared" si="0"/>
        <v>616480810</v>
      </c>
      <c r="I12" s="67">
        <f t="shared" si="0"/>
        <v>240206996</v>
      </c>
      <c r="J12" s="67">
        <f t="shared" si="0"/>
        <v>112440246</v>
      </c>
      <c r="K12" s="66">
        <f t="shared" ref="K12" si="1">SUM(K7:K10)</f>
        <v>0</v>
      </c>
      <c r="L12" s="66">
        <f t="shared" si="0"/>
        <v>1645243114</v>
      </c>
      <c r="M12" s="66">
        <f>SUM(M7:M10)</f>
        <v>1929500000</v>
      </c>
      <c r="N12" s="67">
        <f t="shared" ref="N12:P12" si="2">SUM(N7:N10)</f>
        <v>1567843000</v>
      </c>
      <c r="O12" s="66">
        <f t="shared" ref="O12" si="3">SUM(O7:O10)</f>
        <v>0</v>
      </c>
      <c r="P12" s="66">
        <f t="shared" si="2"/>
        <v>34008000</v>
      </c>
      <c r="Q12" s="66">
        <f>SUM(Q7:Q10)</f>
        <v>25242000</v>
      </c>
      <c r="R12" s="67">
        <f t="shared" ref="R12" si="4">SUM(R7:R10)</f>
        <v>25060205</v>
      </c>
      <c r="S12" s="66">
        <f t="shared" ref="S12:T12" si="5">SUM(S7:S10)</f>
        <v>0</v>
      </c>
      <c r="T12" s="66">
        <f t="shared" si="5"/>
        <v>13516500000</v>
      </c>
      <c r="U12" s="66">
        <f>SUM(U7:U10)</f>
        <v>10747500000</v>
      </c>
      <c r="V12" s="66">
        <f>SUM(V7:V10)</f>
        <v>8922600000</v>
      </c>
      <c r="W12" s="66">
        <f t="shared" ref="W12:X12" si="6">SUM(W7:W10)</f>
        <v>0</v>
      </c>
      <c r="X12" s="66">
        <f t="shared" si="6"/>
        <v>5257998900</v>
      </c>
      <c r="Y12" s="66">
        <f>SUM(Y7:Y10)</f>
        <v>4543841520</v>
      </c>
      <c r="Z12" s="67">
        <f t="shared" ref="Z12" si="7">SUM(Z7:Z10)</f>
        <v>4034222880</v>
      </c>
      <c r="AA12" s="66">
        <f>SUM(AA7:AA10)</f>
        <v>0</v>
      </c>
      <c r="AB12" s="66">
        <f>SUM(AB7:AB10)</f>
        <v>2295184000</v>
      </c>
      <c r="AC12" s="67">
        <f t="shared" ref="AC12" si="8">SUM(AC7:AC10)</f>
        <v>1259013000</v>
      </c>
      <c r="AD12" s="67">
        <f>SUM(AD7:AD10)</f>
        <v>866919110</v>
      </c>
      <c r="AE12" s="66">
        <f>SUM(AE7:AE10)</f>
        <v>0</v>
      </c>
      <c r="AF12" s="66">
        <f>SUM(AF7:AF10)</f>
        <v>4146456000</v>
      </c>
      <c r="AG12" s="67">
        <f t="shared" ref="AG12" si="9">SUM(AG7:AG10)</f>
        <v>2811477000</v>
      </c>
      <c r="AH12" s="67">
        <f t="shared" ref="AH12:AT12" si="10">SUM(AH7:AH10)</f>
        <v>4034234000</v>
      </c>
      <c r="AI12" s="66">
        <f t="shared" ref="AI12" si="11">SUM(AI7:AI10)</f>
        <v>0</v>
      </c>
      <c r="AJ12" s="66">
        <f t="shared" si="10"/>
        <v>551624000</v>
      </c>
      <c r="AK12" s="66">
        <f t="shared" si="10"/>
        <v>629374000</v>
      </c>
      <c r="AL12" s="66">
        <f t="shared" si="10"/>
        <v>556907000</v>
      </c>
      <c r="AM12" s="66">
        <f t="shared" ref="AM12" si="12">SUM(AM7:AM10)</f>
        <v>0</v>
      </c>
      <c r="AN12" s="66">
        <f t="shared" si="10"/>
        <v>3446171403</v>
      </c>
      <c r="AO12" s="66">
        <f t="shared" si="10"/>
        <v>2777857847</v>
      </c>
      <c r="AP12" s="66">
        <f t="shared" si="10"/>
        <v>1854191148</v>
      </c>
      <c r="AQ12" s="66">
        <f t="shared" ref="AQ12" si="13">SUM(AQ7:AQ10)</f>
        <v>0</v>
      </c>
      <c r="AR12" s="66">
        <f t="shared" si="10"/>
        <v>122319694</v>
      </c>
      <c r="AS12" s="66">
        <f t="shared" si="10"/>
        <v>92429200</v>
      </c>
      <c r="AT12" s="66">
        <f t="shared" si="10"/>
        <v>68385883</v>
      </c>
    </row>
    <row r="13" spans="1:46" ht="13.8" thickBot="1">
      <c r="B13" s="106" t="s">
        <v>53</v>
      </c>
      <c r="C13" s="87">
        <f>AVERAGE(C12:D12)</f>
        <v>5824500</v>
      </c>
      <c r="D13" s="66">
        <f>AVERAGE(D12:E12)</f>
        <v>16262080</v>
      </c>
      <c r="E13" s="67">
        <f>AVERAGE(E12:F12)</f>
        <v>22236580</v>
      </c>
      <c r="F13" s="67"/>
      <c r="G13" s="66">
        <f>AVERAGE(G12:H12)</f>
        <v>308240405</v>
      </c>
      <c r="H13" s="66">
        <f>AVERAGE(H12:I12)</f>
        <v>428343903</v>
      </c>
      <c r="I13" s="67">
        <f>AVERAGE(I12:J12)</f>
        <v>176323621</v>
      </c>
      <c r="J13" s="67"/>
      <c r="K13" s="66">
        <f>AVERAGE(K12:L12)</f>
        <v>822621557</v>
      </c>
      <c r="L13" s="66">
        <f>AVERAGE(L12:M12)</f>
        <v>1787371557</v>
      </c>
      <c r="M13" s="66">
        <f>AVERAGE(M12:N12)</f>
        <v>1748671500</v>
      </c>
      <c r="N13" s="67"/>
      <c r="O13" s="66">
        <f>AVERAGE(O12:P12)</f>
        <v>17004000</v>
      </c>
      <c r="P13" s="66">
        <f>AVERAGE(P12:Q12)</f>
        <v>29625000</v>
      </c>
      <c r="Q13" s="66">
        <f>AVERAGE(Q12:R12)</f>
        <v>25151102.5</v>
      </c>
      <c r="R13" s="67"/>
      <c r="S13" s="66">
        <f>AVERAGE(S12:T12)</f>
        <v>6758250000</v>
      </c>
      <c r="T13" s="66">
        <f>AVERAGE(T12:U12)</f>
        <v>12132000000</v>
      </c>
      <c r="U13" s="66">
        <f>AVERAGE(U12:V12)</f>
        <v>9835050000</v>
      </c>
      <c r="V13" s="66"/>
      <c r="W13" s="66">
        <f>AVERAGE(W12:X12)</f>
        <v>2628999450</v>
      </c>
      <c r="X13" s="66">
        <f>AVERAGE(X12:Y12)</f>
        <v>4900920210</v>
      </c>
      <c r="Y13" s="66">
        <f>AVERAGE(Y12:Z12)</f>
        <v>4289032200</v>
      </c>
      <c r="Z13" s="67"/>
      <c r="AA13" s="66">
        <f>AVERAGE(AA12:AB12)</f>
        <v>1147592000</v>
      </c>
      <c r="AB13" s="66">
        <f>AVERAGE(AB12:AC12)</f>
        <v>1777098500</v>
      </c>
      <c r="AC13" s="67">
        <f>AVERAGE(AC12:AD12)</f>
        <v>1062966055</v>
      </c>
      <c r="AD13" s="67"/>
      <c r="AE13" s="66">
        <f>AVERAGE(AE12:AF12)</f>
        <v>2073228000</v>
      </c>
      <c r="AF13" s="66">
        <f>AVERAGE(AF12:AG12)</f>
        <v>3478966500</v>
      </c>
      <c r="AG13" s="67">
        <f>AVERAGE(AG12:AH12)</f>
        <v>3422855500</v>
      </c>
      <c r="AH13" s="67"/>
      <c r="AI13" s="66">
        <f>AVERAGE(AI12:AJ12)</f>
        <v>275812000</v>
      </c>
      <c r="AJ13" s="66">
        <f>AVERAGE(AJ12:AK12)</f>
        <v>590499000</v>
      </c>
      <c r="AK13" s="66">
        <f>AVERAGE(AK12:AL12)</f>
        <v>593140500</v>
      </c>
      <c r="AL13" s="66"/>
      <c r="AM13" s="66">
        <f>AVERAGE(AM12:AN12)</f>
        <v>1723085701.5</v>
      </c>
      <c r="AN13" s="66">
        <f>AVERAGE(AN12:AO12)</f>
        <v>3112014625</v>
      </c>
      <c r="AO13" s="66">
        <f>AVERAGE(AO12:AP12)</f>
        <v>2316024497.5</v>
      </c>
      <c r="AP13" s="66"/>
      <c r="AQ13" s="66">
        <f>AVERAGE(AQ12:AR12)</f>
        <v>61159847</v>
      </c>
      <c r="AR13" s="66">
        <f>AVERAGE(AR12:AS12)</f>
        <v>107374447</v>
      </c>
      <c r="AS13" s="66">
        <f>AVERAGE(AS12:AT12)</f>
        <v>80407541.5</v>
      </c>
      <c r="AT13" s="66"/>
    </row>
    <row r="15" spans="1:46">
      <c r="B15" s="1"/>
      <c r="C15" s="1"/>
      <c r="Y15" s="8"/>
      <c r="Z15" s="8"/>
      <c r="AA15" s="8"/>
      <c r="AC15" s="8"/>
      <c r="AD15" s="8"/>
      <c r="AE15" s="8"/>
    </row>
    <row r="16" spans="1:46">
      <c r="U16" s="8"/>
      <c r="V16" s="8"/>
      <c r="W16" s="8"/>
      <c r="X16" s="8"/>
      <c r="Y16" s="8"/>
      <c r="Z16" s="9"/>
      <c r="AA16" s="9"/>
    </row>
    <row r="17" spans="21:27">
      <c r="U17" s="8"/>
      <c r="Y17" s="8"/>
      <c r="Z17" s="8"/>
      <c r="AA17" s="8"/>
    </row>
    <row r="19" spans="21:27">
      <c r="Y19" s="4"/>
    </row>
    <row r="22" spans="21:27">
      <c r="X22" s="8"/>
    </row>
    <row r="23" spans="21:27">
      <c r="X23" s="8"/>
    </row>
    <row r="25" spans="21:27">
      <c r="X25" s="8"/>
    </row>
  </sheetData>
  <mergeCells count="20">
    <mergeCell ref="AQ4:AT5"/>
    <mergeCell ref="D3:F3"/>
    <mergeCell ref="AF3:AH3"/>
    <mergeCell ref="H3:J3"/>
    <mergeCell ref="AB3:AD3"/>
    <mergeCell ref="X3:Z3"/>
    <mergeCell ref="T3:V3"/>
    <mergeCell ref="P3:R3"/>
    <mergeCell ref="L3:N3"/>
    <mergeCell ref="AE4:AH5"/>
    <mergeCell ref="AI4:AL5"/>
    <mergeCell ref="AM4:AP5"/>
    <mergeCell ref="S4:V5"/>
    <mergeCell ref="W4:Z5"/>
    <mergeCell ref="AA4:AD5"/>
    <mergeCell ref="B4:B6"/>
    <mergeCell ref="C4:F5"/>
    <mergeCell ref="G4:J5"/>
    <mergeCell ref="K4:N5"/>
    <mergeCell ref="O4:R5"/>
  </mergeCells>
  <pageMargins left="0.7" right="0.7" top="0.75" bottom="0.75" header="0.3" footer="0.3"/>
  <pageSetup paperSize="9" scale="13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3D31-B4EB-412E-918F-8862C5F9933C}">
  <dimension ref="B1:AI25"/>
  <sheetViews>
    <sheetView showGridLines="0" zoomScale="80" zoomScaleNormal="80" zoomScaleSheetLayoutView="70" workbookViewId="0">
      <selection activeCell="B3" sqref="B3:B4"/>
    </sheetView>
  </sheetViews>
  <sheetFormatPr defaultColWidth="22.6640625" defaultRowHeight="21" customHeight="1"/>
  <cols>
    <col min="1" max="1" width="12" style="5" customWidth="1"/>
    <col min="2" max="2" width="42.44140625" style="5" customWidth="1"/>
    <col min="3" max="3" width="18.6640625" style="5" customWidth="1"/>
    <col min="4" max="9" width="21.33203125" style="5" customWidth="1"/>
    <col min="10" max="10" width="27.33203125" style="5" customWidth="1"/>
    <col min="11" max="27" width="21.33203125" style="5" customWidth="1"/>
    <col min="28" max="16384" width="22.6640625" style="5"/>
  </cols>
  <sheetData>
    <row r="1" spans="2:35" ht="13.2">
      <c r="B1" s="64" t="s">
        <v>55</v>
      </c>
      <c r="C1" s="111"/>
      <c r="D1" s="112"/>
      <c r="E1" s="112"/>
      <c r="F1" s="112"/>
      <c r="G1" s="112"/>
      <c r="H1" s="112"/>
      <c r="I1" s="112"/>
      <c r="J1" s="111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spans="2:35" ht="15" customHeight="1" thickBot="1">
      <c r="B2" s="65"/>
      <c r="C2" s="113"/>
      <c r="D2" s="113"/>
      <c r="E2" s="113"/>
      <c r="F2" s="113"/>
      <c r="G2" s="151"/>
      <c r="H2" s="151"/>
      <c r="I2" s="114"/>
      <c r="J2" s="151"/>
      <c r="K2" s="151"/>
      <c r="L2" s="114"/>
      <c r="M2" s="113"/>
      <c r="N2" s="113"/>
      <c r="O2" s="113"/>
      <c r="P2" s="113"/>
      <c r="Q2" s="113"/>
      <c r="R2" s="113"/>
      <c r="S2" s="151"/>
      <c r="T2" s="151"/>
      <c r="U2" s="114"/>
      <c r="V2" s="151"/>
      <c r="W2" s="151"/>
      <c r="X2" s="114"/>
      <c r="Y2" s="151"/>
      <c r="Z2" s="151"/>
      <c r="AA2" s="115"/>
    </row>
    <row r="3" spans="2:35" ht="38.25" customHeight="1" thickBot="1">
      <c r="B3" s="152" t="s">
        <v>44</v>
      </c>
      <c r="C3" s="147" t="s">
        <v>17</v>
      </c>
      <c r="D3" s="148"/>
      <c r="E3" s="148"/>
      <c r="F3" s="147" t="s">
        <v>45</v>
      </c>
      <c r="G3" s="148"/>
      <c r="H3" s="148"/>
      <c r="I3" s="147" t="s">
        <v>28</v>
      </c>
      <c r="J3" s="148"/>
      <c r="K3" s="148"/>
      <c r="L3" s="147" t="s">
        <v>29</v>
      </c>
      <c r="M3" s="148"/>
      <c r="N3" s="148"/>
      <c r="O3" s="147" t="s">
        <v>30</v>
      </c>
      <c r="P3" s="148"/>
      <c r="Q3" s="148"/>
      <c r="R3" s="147" t="s">
        <v>31</v>
      </c>
      <c r="S3" s="148"/>
      <c r="T3" s="148"/>
      <c r="U3" s="148" t="s">
        <v>46</v>
      </c>
      <c r="V3" s="148"/>
      <c r="W3" s="148"/>
      <c r="X3" s="147" t="s">
        <v>47</v>
      </c>
      <c r="Y3" s="148"/>
      <c r="Z3" s="148"/>
      <c r="AA3" s="147" t="s">
        <v>8</v>
      </c>
      <c r="AB3" s="148"/>
      <c r="AC3" s="148"/>
      <c r="AD3" s="147" t="s">
        <v>32</v>
      </c>
      <c r="AE3" s="148"/>
      <c r="AF3" s="148"/>
      <c r="AG3" s="147" t="s">
        <v>33</v>
      </c>
      <c r="AH3" s="148"/>
      <c r="AI3" s="148"/>
    </row>
    <row r="4" spans="2:35" ht="13.8" thickBot="1">
      <c r="B4" s="153"/>
      <c r="C4" s="31" t="s">
        <v>68</v>
      </c>
      <c r="D4" s="31" t="s">
        <v>69</v>
      </c>
      <c r="E4" s="31" t="s">
        <v>70</v>
      </c>
      <c r="F4" s="31" t="s">
        <v>68</v>
      </c>
      <c r="G4" s="31" t="s">
        <v>69</v>
      </c>
      <c r="H4" s="31" t="s">
        <v>70</v>
      </c>
      <c r="I4" s="31" t="s">
        <v>68</v>
      </c>
      <c r="J4" s="31" t="s">
        <v>69</v>
      </c>
      <c r="K4" s="31" t="s">
        <v>70</v>
      </c>
      <c r="L4" s="31" t="s">
        <v>68</v>
      </c>
      <c r="M4" s="31" t="s">
        <v>69</v>
      </c>
      <c r="N4" s="31" t="s">
        <v>70</v>
      </c>
      <c r="O4" s="31" t="s">
        <v>68</v>
      </c>
      <c r="P4" s="31" t="s">
        <v>69</v>
      </c>
      <c r="Q4" s="31" t="s">
        <v>70</v>
      </c>
      <c r="R4" s="31" t="s">
        <v>68</v>
      </c>
      <c r="S4" s="31" t="s">
        <v>69</v>
      </c>
      <c r="T4" s="31" t="s">
        <v>70</v>
      </c>
      <c r="U4" s="31" t="s">
        <v>68</v>
      </c>
      <c r="V4" s="31" t="s">
        <v>69</v>
      </c>
      <c r="W4" s="31" t="s">
        <v>70</v>
      </c>
      <c r="X4" s="31" t="s">
        <v>68</v>
      </c>
      <c r="Y4" s="31" t="s">
        <v>69</v>
      </c>
      <c r="Z4" s="31" t="s">
        <v>70</v>
      </c>
      <c r="AA4" s="31" t="s">
        <v>68</v>
      </c>
      <c r="AB4" s="31" t="s">
        <v>69</v>
      </c>
      <c r="AC4" s="31" t="s">
        <v>70</v>
      </c>
      <c r="AD4" s="31" t="s">
        <v>68</v>
      </c>
      <c r="AE4" s="31" t="s">
        <v>69</v>
      </c>
      <c r="AF4" s="31" t="s">
        <v>70</v>
      </c>
      <c r="AG4" s="31" t="s">
        <v>68</v>
      </c>
      <c r="AH4" s="31" t="s">
        <v>69</v>
      </c>
      <c r="AI4" s="31" t="s">
        <v>70</v>
      </c>
    </row>
    <row r="5" spans="2:35" ht="13.8" thickBot="1">
      <c r="B5" s="51"/>
      <c r="C5" s="51"/>
      <c r="D5" s="52"/>
      <c r="E5" s="52"/>
      <c r="F5" s="53"/>
      <c r="G5" s="53"/>
      <c r="H5" s="52"/>
      <c r="I5" s="53"/>
      <c r="J5" s="51"/>
      <c r="K5" s="52"/>
      <c r="L5" s="52"/>
      <c r="M5" s="52"/>
      <c r="N5" s="52"/>
      <c r="O5" s="52"/>
      <c r="P5" s="52"/>
      <c r="Q5" s="53"/>
      <c r="R5" s="52"/>
      <c r="S5" s="52"/>
      <c r="T5" s="52"/>
      <c r="U5" s="52"/>
      <c r="V5" s="53"/>
      <c r="W5" s="52"/>
      <c r="X5" s="53"/>
      <c r="Y5" s="53"/>
      <c r="Z5" s="52"/>
      <c r="AA5" s="53"/>
      <c r="AB5" s="74"/>
      <c r="AC5" s="74"/>
      <c r="AD5" s="74"/>
      <c r="AE5" s="74"/>
      <c r="AF5" s="74"/>
      <c r="AG5" s="74"/>
      <c r="AH5" s="74"/>
      <c r="AI5" s="74"/>
    </row>
    <row r="6" spans="2:35" ht="13.8" thickBot="1">
      <c r="B6" s="75" t="s">
        <v>56</v>
      </c>
      <c r="C6" s="61" t="s">
        <v>43</v>
      </c>
      <c r="D6" s="54">
        <f>88729*1000</f>
        <v>88729000</v>
      </c>
      <c r="E6" s="54">
        <f>99166.89*1000</f>
        <v>99166890</v>
      </c>
      <c r="F6" s="61" t="s">
        <v>43</v>
      </c>
      <c r="G6" s="94">
        <f>948686.24*1000</f>
        <v>948686240</v>
      </c>
      <c r="H6" s="54">
        <v>701378400</v>
      </c>
      <c r="I6" s="61" t="s">
        <v>43</v>
      </c>
      <c r="J6" s="94">
        <v>7127379251</v>
      </c>
      <c r="K6" s="54">
        <f>81377*10^5</f>
        <v>8137700000</v>
      </c>
      <c r="L6" s="61" t="s">
        <v>43</v>
      </c>
      <c r="M6" s="54">
        <v>217508000</v>
      </c>
      <c r="N6" s="54">
        <f>393515*10^3</f>
        <v>393515000</v>
      </c>
      <c r="O6" s="61" t="s">
        <v>43</v>
      </c>
      <c r="P6" s="54">
        <f>193661*10^5</f>
        <v>19366100000</v>
      </c>
      <c r="Q6" s="54">
        <f>154994*10^5</f>
        <v>15499400000</v>
      </c>
      <c r="R6" s="61" t="s">
        <v>43</v>
      </c>
      <c r="S6" s="54">
        <v>57955300000</v>
      </c>
      <c r="T6" s="94">
        <v>53931600000</v>
      </c>
      <c r="U6" s="61" t="s">
        <v>43</v>
      </c>
      <c r="V6" s="54">
        <f>88026.7*10^5</f>
        <v>8802670000</v>
      </c>
      <c r="W6" s="54">
        <f>84231.27*10^5</f>
        <v>8423127000</v>
      </c>
      <c r="X6" s="61" t="s">
        <v>43</v>
      </c>
      <c r="Y6" s="54">
        <v>21660430000</v>
      </c>
      <c r="Z6" s="54">
        <f>271626.86*10^5</f>
        <v>27162686000</v>
      </c>
      <c r="AA6" s="61" t="s">
        <v>43</v>
      </c>
      <c r="AB6" s="54">
        <v>695942000</v>
      </c>
      <c r="AC6" s="76">
        <v>300409000</v>
      </c>
      <c r="AD6" s="61" t="s">
        <v>43</v>
      </c>
      <c r="AE6" s="54">
        <v>26434454944.999996</v>
      </c>
      <c r="AF6" s="76">
        <v>20121629075</v>
      </c>
      <c r="AG6" s="61" t="s">
        <v>43</v>
      </c>
      <c r="AH6" s="54">
        <v>752296281</v>
      </c>
      <c r="AI6" s="76">
        <v>666228600</v>
      </c>
    </row>
    <row r="7" spans="2:35" ht="13.8" thickBot="1">
      <c r="B7" s="75" t="s">
        <v>57</v>
      </c>
      <c r="C7" s="61" t="s">
        <v>43</v>
      </c>
      <c r="D7" s="94">
        <v>88699000</v>
      </c>
      <c r="E7" s="54">
        <v>99153180</v>
      </c>
      <c r="F7" s="61" t="s">
        <v>43</v>
      </c>
      <c r="G7" s="94">
        <v>940649880</v>
      </c>
      <c r="H7" s="54">
        <v>694322810</v>
      </c>
      <c r="I7" s="61" t="s">
        <v>43</v>
      </c>
      <c r="J7" s="94">
        <v>7108375061</v>
      </c>
      <c r="K7" s="54">
        <v>8122100000</v>
      </c>
      <c r="L7" s="61" t="s">
        <v>43</v>
      </c>
      <c r="M7" s="54">
        <v>216590000</v>
      </c>
      <c r="N7" s="54">
        <v>392102000</v>
      </c>
      <c r="O7" s="61" t="s">
        <v>43</v>
      </c>
      <c r="P7" s="54">
        <f>190962*10^5</f>
        <v>19096200000</v>
      </c>
      <c r="Q7" s="54">
        <v>15028400000</v>
      </c>
      <c r="R7" s="61" t="s">
        <v>43</v>
      </c>
      <c r="S7" s="54">
        <v>57877500000</v>
      </c>
      <c r="T7" s="94">
        <v>53871700000</v>
      </c>
      <c r="U7" s="61" t="s">
        <v>43</v>
      </c>
      <c r="V7" s="54">
        <f>87871.73*10^5</f>
        <v>8787173000</v>
      </c>
      <c r="W7" s="54">
        <f>(84231.27-251.38-29.33)*10^5</f>
        <v>8395056000</v>
      </c>
      <c r="X7" s="61" t="s">
        <v>43</v>
      </c>
      <c r="Y7" s="54">
        <v>21572727000</v>
      </c>
      <c r="Z7" s="54">
        <v>27105757000</v>
      </c>
      <c r="AA7" s="61" t="s">
        <v>43</v>
      </c>
      <c r="AB7" s="54">
        <v>694867000</v>
      </c>
      <c r="AC7" s="76">
        <v>299463000</v>
      </c>
      <c r="AD7" s="61" t="s">
        <v>43</v>
      </c>
      <c r="AE7" s="54">
        <v>26271309543.999996</v>
      </c>
      <c r="AF7" s="76">
        <v>20014384135</v>
      </c>
      <c r="AG7" s="61" t="s">
        <v>43</v>
      </c>
      <c r="AH7" s="54">
        <v>747672695</v>
      </c>
      <c r="AI7" s="76">
        <v>662665853</v>
      </c>
    </row>
    <row r="8" spans="2:35" ht="13.8" thickBot="1">
      <c r="B8" s="75" t="s">
        <v>58</v>
      </c>
      <c r="C8" s="88"/>
      <c r="D8" s="55">
        <f>D7/D6</f>
        <v>0.99966189182792553</v>
      </c>
      <c r="E8" s="55">
        <f t="shared" ref="E8" si="0">E7/E6</f>
        <v>0.99986174821051665</v>
      </c>
      <c r="F8" s="55"/>
      <c r="G8" s="55">
        <f>G7/G6</f>
        <v>0.99152895903707849</v>
      </c>
      <c r="H8" s="55">
        <f>H7/H6</f>
        <v>0.98994039451457305</v>
      </c>
      <c r="I8" s="55"/>
      <c r="J8" s="55">
        <f t="shared" ref="J8:N8" si="1">J7/J6</f>
        <v>0.99733363564211441</v>
      </c>
      <c r="K8" s="55">
        <f t="shared" si="1"/>
        <v>0.99808299642405107</v>
      </c>
      <c r="L8" s="55"/>
      <c r="M8" s="55">
        <f t="shared" si="1"/>
        <v>0.99577946558287511</v>
      </c>
      <c r="N8" s="55">
        <f t="shared" si="1"/>
        <v>0.99640928554184716</v>
      </c>
      <c r="O8" s="55"/>
      <c r="P8" s="55">
        <f>P7/P6</f>
        <v>0.98606327551752804</v>
      </c>
      <c r="Q8" s="55">
        <f>Q7/Q6</f>
        <v>0.96961172690555764</v>
      </c>
      <c r="R8" s="55"/>
      <c r="S8" s="95">
        <f>S7/S6</f>
        <v>0.99865758610515343</v>
      </c>
      <c r="T8" s="95">
        <f>T7/T6</f>
        <v>0.99888933389701029</v>
      </c>
      <c r="U8" s="55"/>
      <c r="V8" s="55">
        <f t="shared" ref="V8:W8" si="2">V7/V6</f>
        <v>0.99823951142096656</v>
      </c>
      <c r="W8" s="55">
        <f t="shared" si="2"/>
        <v>0.99666738967606683</v>
      </c>
      <c r="X8" s="55"/>
      <c r="Y8" s="55">
        <f>Y7/Y6</f>
        <v>0.99595100374276968</v>
      </c>
      <c r="Z8" s="55">
        <f>Z7/Z6</f>
        <v>0.99790414688738804</v>
      </c>
      <c r="AA8" s="55"/>
      <c r="AB8" s="55">
        <f t="shared" ref="AB8:AI8" si="3">AB7/AB6</f>
        <v>0.99845533104770223</v>
      </c>
      <c r="AC8" s="55">
        <f t="shared" si="3"/>
        <v>0.99685095985806016</v>
      </c>
      <c r="AD8" s="55"/>
      <c r="AE8" s="55">
        <f t="shared" si="3"/>
        <v>0.99382830471294215</v>
      </c>
      <c r="AF8" s="55">
        <f t="shared" si="3"/>
        <v>0.9946701661381262</v>
      </c>
      <c r="AG8" s="55"/>
      <c r="AH8" s="55">
        <f t="shared" si="3"/>
        <v>0.99385403581438148</v>
      </c>
      <c r="AI8" s="55">
        <f t="shared" si="3"/>
        <v>0.99465236556941561</v>
      </c>
    </row>
    <row r="9" spans="2:35" ht="13.8" thickBot="1">
      <c r="B9" s="72" t="s">
        <v>59</v>
      </c>
      <c r="C9" s="89"/>
      <c r="D9" s="71">
        <f>'Gross Margins'!C10</f>
        <v>78927360</v>
      </c>
      <c r="E9" s="71">
        <f>'Gross Margins'!D10</f>
        <v>89678020</v>
      </c>
      <c r="F9" s="71"/>
      <c r="G9" s="71">
        <f>'Gross Margins'!F10</f>
        <v>886480193</v>
      </c>
      <c r="H9" s="71">
        <f>'Gross Margins'!G10</f>
        <v>645903970</v>
      </c>
      <c r="I9" s="71"/>
      <c r="J9" s="71">
        <f>'Gross Margins'!I10</f>
        <v>6584120604</v>
      </c>
      <c r="K9" s="71">
        <f>'Gross Margins'!J10</f>
        <v>7692500000</v>
      </c>
      <c r="L9" s="71"/>
      <c r="M9" s="71">
        <f>'Gross Margins'!L10</f>
        <v>180728000</v>
      </c>
      <c r="N9" s="71">
        <f>'Gross Margins'!M10</f>
        <v>358697000</v>
      </c>
      <c r="O9" s="71"/>
      <c r="P9" s="71">
        <f>'Gross Margins'!O10</f>
        <v>11242100000</v>
      </c>
      <c r="Q9" s="71">
        <f>'Gross Margins'!P10</f>
        <v>8791600000</v>
      </c>
      <c r="R9" s="71"/>
      <c r="S9" s="71">
        <f>'Gross Margins'!R10</f>
        <v>56841100000</v>
      </c>
      <c r="T9" s="71">
        <f>'Gross Margins'!S10</f>
        <v>53103900000</v>
      </c>
      <c r="U9" s="71"/>
      <c r="V9" s="71">
        <f>'Gross Margins'!U10</f>
        <v>7662813000</v>
      </c>
      <c r="W9" s="71">
        <f>'Gross Margins'!V10</f>
        <v>7371498000</v>
      </c>
      <c r="X9" s="71"/>
      <c r="Y9" s="71">
        <f>'Gross Margins'!X10</f>
        <v>17286326000</v>
      </c>
      <c r="Z9" s="71">
        <f>'Gross Margins'!Y10</f>
        <v>22864719000</v>
      </c>
      <c r="AA9" s="71"/>
      <c r="AB9" s="71">
        <f>'Gross Margins'!AA10</f>
        <v>693023000</v>
      </c>
      <c r="AC9" s="71">
        <f>'Gross Margins'!AB10</f>
        <v>297776000</v>
      </c>
      <c r="AD9" s="71"/>
      <c r="AE9" s="71">
        <f>'Gross Margins'!AD10</f>
        <v>25924947914</v>
      </c>
      <c r="AF9" s="71">
        <f>'Gross Margins'!AE10</f>
        <v>19745818019</v>
      </c>
      <c r="AG9" s="71"/>
      <c r="AH9" s="71">
        <f>'Gross Margins'!AG10</f>
        <v>714073416</v>
      </c>
      <c r="AI9" s="71">
        <f>'Gross Margins'!AH10</f>
        <v>628122300</v>
      </c>
    </row>
    <row r="10" spans="2:35" ht="13.8" thickBot="1">
      <c r="B10" s="56" t="s">
        <v>60</v>
      </c>
      <c r="C10" s="55"/>
      <c r="D10" s="55">
        <f>D9/D6</f>
        <v>0.88953284720891701</v>
      </c>
      <c r="E10" s="55">
        <f>E9/E6</f>
        <v>0.90431413146061146</v>
      </c>
      <c r="F10" s="55"/>
      <c r="G10" s="55">
        <f>G9/G6</f>
        <v>0.9344292724220391</v>
      </c>
      <c r="H10" s="55">
        <f>H9/H6</f>
        <v>0.92090656056702058</v>
      </c>
      <c r="I10" s="55"/>
      <c r="J10" s="55">
        <f t="shared" ref="J10:N10" si="4">J9/J6</f>
        <v>0.92377862495197249</v>
      </c>
      <c r="K10" s="55">
        <f t="shared" si="4"/>
        <v>0.94529166717868685</v>
      </c>
      <c r="L10" s="55"/>
      <c r="M10" s="55">
        <f t="shared" si="4"/>
        <v>0.83090277139231661</v>
      </c>
      <c r="N10" s="55">
        <f t="shared" si="4"/>
        <v>0.91152052653647253</v>
      </c>
      <c r="O10" s="55"/>
      <c r="P10" s="55">
        <f t="shared" ref="P10:T10" si="5">P9/P6</f>
        <v>0.58050407671136672</v>
      </c>
      <c r="Q10" s="55">
        <f t="shared" si="5"/>
        <v>0.56722195697897981</v>
      </c>
      <c r="R10" s="55"/>
      <c r="S10" s="55">
        <f t="shared" si="5"/>
        <v>0.9807748385393571</v>
      </c>
      <c r="T10" s="55">
        <f t="shared" si="5"/>
        <v>0.98465278241327903</v>
      </c>
      <c r="U10" s="55"/>
      <c r="V10" s="55">
        <f t="shared" ref="V10:W10" si="6">V9/V6</f>
        <v>0.87051008387227968</v>
      </c>
      <c r="W10" s="55">
        <f t="shared" si="6"/>
        <v>0.87514981075317988</v>
      </c>
      <c r="X10" s="55"/>
      <c r="Y10" s="55">
        <f>Y9/Y6</f>
        <v>0.79806014931374858</v>
      </c>
      <c r="Z10" s="55">
        <f>Z9/Z6</f>
        <v>0.84176944062159387</v>
      </c>
      <c r="AA10" s="55"/>
      <c r="AB10" s="77">
        <f t="shared" ref="AB10:AI10" si="7">AB9/AB6</f>
        <v>0.99580568495650501</v>
      </c>
      <c r="AC10" s="77">
        <f t="shared" si="7"/>
        <v>0.99123528256477</v>
      </c>
      <c r="AD10" s="55"/>
      <c r="AE10" s="77">
        <f t="shared" si="7"/>
        <v>0.9807256464315196</v>
      </c>
      <c r="AF10" s="77">
        <f t="shared" si="7"/>
        <v>0.98132303032725499</v>
      </c>
      <c r="AG10" s="55"/>
      <c r="AH10" s="77">
        <f t="shared" si="7"/>
        <v>0.94919174005593687</v>
      </c>
      <c r="AI10" s="77">
        <f t="shared" si="7"/>
        <v>0.94280296582884615</v>
      </c>
    </row>
    <row r="11" spans="2:35" ht="13.8" thickBot="1">
      <c r="B11" s="56"/>
      <c r="C11" s="56"/>
      <c r="D11" s="55"/>
      <c r="E11" s="55"/>
      <c r="F11" s="55"/>
      <c r="G11" s="55"/>
      <c r="H11" s="55"/>
      <c r="I11" s="55"/>
      <c r="J11" s="56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74"/>
      <c r="AC11" s="74"/>
      <c r="AD11" s="55"/>
      <c r="AE11" s="74"/>
      <c r="AF11" s="74"/>
      <c r="AG11" s="55"/>
      <c r="AH11" s="74"/>
      <c r="AI11" s="74"/>
    </row>
    <row r="12" spans="2:35" ht="27" thickBot="1">
      <c r="B12" s="57" t="s">
        <v>61</v>
      </c>
      <c r="C12" s="61" t="s">
        <v>43</v>
      </c>
      <c r="D12" s="58">
        <f>'Payable Computation'!D13*D8</f>
        <v>16256581.657857072</v>
      </c>
      <c r="E12" s="58">
        <f>'Payable Computation'!E13*E8</f>
        <v>22233505.75302301</v>
      </c>
      <c r="F12" s="61" t="s">
        <v>43</v>
      </c>
      <c r="G12" s="58">
        <f>'Payable Computation'!H13*G8</f>
        <v>424715384.25146931</v>
      </c>
      <c r="H12" s="58">
        <f>'Payable Computation'!I13*H8</f>
        <v>174549874.93497807</v>
      </c>
      <c r="I12" s="61" t="s">
        <v>43</v>
      </c>
      <c r="J12" s="58">
        <f>'Payable Computation'!L13*'Avg Payable days'!J8</f>
        <v>1782605773.1861167</v>
      </c>
      <c r="K12" s="58">
        <f>'Payable Computation'!M13*'Avg Payable days'!K8</f>
        <v>1745319290.4813399</v>
      </c>
      <c r="L12" s="61" t="s">
        <v>43</v>
      </c>
      <c r="M12" s="58">
        <f>'Payable Computation'!P13*'Avg Payable days'!M8</f>
        <v>29499966.667892676</v>
      </c>
      <c r="N12" s="58">
        <f>'Payable Computation'!Q13*'Avg Payable days'!N8</f>
        <v>25060792.072614767</v>
      </c>
      <c r="O12" s="61" t="s">
        <v>43</v>
      </c>
      <c r="P12" s="58">
        <f>'Payable Computation'!X13*'Avg Payable days'!P8</f>
        <v>4832617435.3226509</v>
      </c>
      <c r="Q12" s="58">
        <f>'Payable Computation'!Y13*'Avg Payable days'!Q8</f>
        <v>4158695918.1955433</v>
      </c>
      <c r="R12" s="61" t="s">
        <v>43</v>
      </c>
      <c r="S12" s="58">
        <f>'Payable Computation'!T13*'Avg Payable days'!S8</f>
        <v>12115713834.627722</v>
      </c>
      <c r="T12" s="58">
        <f>'Payable Computation'!U13*'Avg Payable days'!T8</f>
        <v>9824126543.343792</v>
      </c>
      <c r="U12" s="61" t="s">
        <v>43</v>
      </c>
      <c r="V12" s="58">
        <f>'Payable Computation'!AB13*V8</f>
        <v>1773969938.3869326</v>
      </c>
      <c r="W12" s="58">
        <f>'Payable Computation'!AC13*W8</f>
        <v>1059423603.3511165</v>
      </c>
      <c r="X12" s="61" t="s">
        <v>43</v>
      </c>
      <c r="Y12" s="58">
        <f>'Payable Computation'!AF13*Y8</f>
        <v>3464880177.6624703</v>
      </c>
      <c r="Z12" s="58">
        <f>'Payable Computation'!AG13*Z8</f>
        <v>3415681697.6463041</v>
      </c>
      <c r="AA12" s="61" t="s">
        <v>43</v>
      </c>
      <c r="AB12" s="58">
        <f>'Payable Computation'!AJ13*AB8</f>
        <v>589586874.52833712</v>
      </c>
      <c r="AC12" s="58">
        <f>'Payable Computation'!AK13*AC8</f>
        <v>591272676.75568974</v>
      </c>
      <c r="AD12" s="61" t="s">
        <v>43</v>
      </c>
      <c r="AE12" s="58">
        <f>'Payable Computation'!AN13*AE8</f>
        <v>3092808219.0056324</v>
      </c>
      <c r="AF12" s="58">
        <f>'Payable Computation'!AO13*AF8</f>
        <v>2303680471.7082953</v>
      </c>
      <c r="AG12" s="61" t="s">
        <v>43</v>
      </c>
      <c r="AH12" s="58">
        <f>'Payable Computation'!AR13*AH8</f>
        <v>106714527.4942874</v>
      </c>
      <c r="AI12" s="58">
        <f>'Payable Computation'!AS13*AI8</f>
        <v>79977551.36259596</v>
      </c>
    </row>
    <row r="13" spans="2:35" ht="27" thickBot="1">
      <c r="B13" s="57" t="s">
        <v>62</v>
      </c>
      <c r="C13" s="61" t="s">
        <v>43</v>
      </c>
      <c r="D13" s="58">
        <f>'Payable Computation'!D13*D10</f>
        <v>14465654.323939186</v>
      </c>
      <c r="E13" s="58">
        <f>'Payable Computation'!E13*E10</f>
        <v>20108853.529354405</v>
      </c>
      <c r="F13" s="61" t="s">
        <v>43</v>
      </c>
      <c r="G13" s="58">
        <f>'Payable Computation'!H13*G10</f>
        <v>400257081.62670648</v>
      </c>
      <c r="H13" s="58">
        <f>'Payable Computation'!I13*H10</f>
        <v>162377579.36183289</v>
      </c>
      <c r="I13" s="61" t="s">
        <v>43</v>
      </c>
      <c r="J13" s="58">
        <f>'Payable Computation'!L13*'Avg Payable days'!J10</f>
        <v>1651135639.2037261</v>
      </c>
      <c r="K13" s="58">
        <f>'Payable Computation'!M13*'Avg Payable days'!K10</f>
        <v>1653004597.582855</v>
      </c>
      <c r="L13" s="61" t="s">
        <v>43</v>
      </c>
      <c r="M13" s="58">
        <f>'Payable Computation'!P13*'Avg Payable days'!M10</f>
        <v>24615494.60249738</v>
      </c>
      <c r="N13" s="58">
        <f>'Payable Computation'!Q13*'Avg Payable days'!N10</f>
        <v>22925746.193772789</v>
      </c>
      <c r="O13" s="61" t="s">
        <v>43</v>
      </c>
      <c r="P13" s="58">
        <f>'Payable Computation'!X13*'Avg Payable days'!P10</f>
        <v>2845004161.5421276</v>
      </c>
      <c r="Q13" s="58">
        <f>'Payable Computation'!Y13*'Avg Payable days'!Q10</f>
        <v>2432833238.0298591</v>
      </c>
      <c r="R13" s="61" t="s">
        <v>43</v>
      </c>
      <c r="S13" s="58">
        <f>'Payable Computation'!T13*'Avg Payable days'!S10</f>
        <v>11898760341.159481</v>
      </c>
      <c r="T13" s="58">
        <f>'Payable Computation'!U13*'Avg Payable days'!T10</f>
        <v>9684109347.6737194</v>
      </c>
      <c r="U13" s="61" t="s">
        <v>43</v>
      </c>
      <c r="V13" s="58">
        <f>'Payable Computation'!AB13*V10</f>
        <v>1546982164.2843025</v>
      </c>
      <c r="W13" s="58">
        <f>'Payable Computation'!AC13*W10</f>
        <v>930254541.87030423</v>
      </c>
      <c r="X13" s="61" t="s">
        <v>43</v>
      </c>
      <c r="Y13" s="58">
        <f>'Payable Computation'!AF13*Y10</f>
        <v>2776424524.4475293</v>
      </c>
      <c r="Z13" s="58">
        <f>'Payable Computation'!AG13*Z10</f>
        <v>2881255159.5635462</v>
      </c>
      <c r="AA13" s="61" t="s">
        <v>43</v>
      </c>
      <c r="AB13" s="58">
        <f>'Payable Computation'!AJ13*AB10</f>
        <v>588022261.16113126</v>
      </c>
      <c r="AC13" s="58">
        <f>'Payable Computation'!AK13*AC10</f>
        <v>587941791.11810899</v>
      </c>
      <c r="AD13" s="61" t="s">
        <v>43</v>
      </c>
      <c r="AE13" s="58">
        <f>'Payable Computation'!AN13*AE10</f>
        <v>3052032554.8074679</v>
      </c>
      <c r="AF13" s="58">
        <f>'Payable Computation'!AO13*AF10</f>
        <v>2272768178.1988578</v>
      </c>
      <c r="AG13" s="61" t="s">
        <v>43</v>
      </c>
      <c r="AH13" s="58">
        <f>'Payable Computation'!AR13*AH10</f>
        <v>101918938.18547396</v>
      </c>
      <c r="AI13" s="58">
        <f>'Payable Computation'!AS13*AI10</f>
        <v>75808468.601206034</v>
      </c>
    </row>
    <row r="14" spans="2:35" ht="13.8" thickBot="1">
      <c r="B14" s="59"/>
      <c r="C14" s="59"/>
      <c r="D14" s="55"/>
      <c r="E14" s="55"/>
      <c r="F14" s="55"/>
      <c r="G14" s="55"/>
      <c r="H14" s="55"/>
      <c r="I14" s="55"/>
      <c r="J14" s="59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74"/>
      <c r="AC14" s="74"/>
      <c r="AD14" s="55"/>
      <c r="AE14" s="74"/>
      <c r="AF14" s="74"/>
      <c r="AG14" s="55"/>
      <c r="AH14" s="74"/>
      <c r="AI14" s="74"/>
    </row>
    <row r="15" spans="2:35" s="6" customFormat="1" ht="13.8" thickBot="1">
      <c r="B15" s="60" t="s">
        <v>63</v>
      </c>
      <c r="C15" s="61" t="s">
        <v>43</v>
      </c>
      <c r="D15" s="61">
        <f>D12/D7</f>
        <v>0.18327807143098651</v>
      </c>
      <c r="E15" s="61">
        <f>E12/E7</f>
        <v>0.22423391517067845</v>
      </c>
      <c r="F15" s="61" t="s">
        <v>43</v>
      </c>
      <c r="G15" s="61">
        <f t="shared" ref="G15:K15" si="8">G12/G7</f>
        <v>0.45151271826183542</v>
      </c>
      <c r="H15" s="61">
        <f t="shared" si="8"/>
        <v>0.25139585279501053</v>
      </c>
      <c r="I15" s="61" t="s">
        <v>43</v>
      </c>
      <c r="J15" s="55">
        <f t="shared" si="8"/>
        <v>0.25077542446604406</v>
      </c>
      <c r="K15" s="55">
        <f t="shared" si="8"/>
        <v>0.21488522555513229</v>
      </c>
      <c r="L15" s="61" t="s">
        <v>43</v>
      </c>
      <c r="M15" s="61">
        <f t="shared" ref="M15:N15" si="9">M12/M7</f>
        <v>0.13620188682715118</v>
      </c>
      <c r="N15" s="61">
        <f t="shared" si="9"/>
        <v>6.391396134836029E-2</v>
      </c>
      <c r="O15" s="61" t="s">
        <v>43</v>
      </c>
      <c r="P15" s="61">
        <f t="shared" ref="P15:W15" si="10">P12/P7</f>
        <v>0.25306696805242146</v>
      </c>
      <c r="Q15" s="61">
        <f t="shared" si="10"/>
        <v>0.27672246667612943</v>
      </c>
      <c r="R15" s="61" t="s">
        <v>43</v>
      </c>
      <c r="S15" s="55">
        <f t="shared" si="10"/>
        <v>0.20933374514496517</v>
      </c>
      <c r="T15" s="55">
        <f t="shared" si="10"/>
        <v>0.18236154684823</v>
      </c>
      <c r="U15" s="61" t="s">
        <v>43</v>
      </c>
      <c r="V15" s="61">
        <f t="shared" si="10"/>
        <v>0.20188175860278756</v>
      </c>
      <c r="W15" s="61">
        <f t="shared" si="10"/>
        <v>0.12619613298006785</v>
      </c>
      <c r="X15" s="61" t="s">
        <v>43</v>
      </c>
      <c r="Y15" s="61">
        <f>Y12/Y7</f>
        <v>0.16061391671356479</v>
      </c>
      <c r="Z15" s="61">
        <f>Z12/Z7</f>
        <v>0.12601314538628469</v>
      </c>
      <c r="AA15" s="61" t="s">
        <v>43</v>
      </c>
      <c r="AB15" s="78">
        <f t="shared" ref="AB15:AI15" si="11">AB12/AB7</f>
        <v>0.84848881084917993</v>
      </c>
      <c r="AC15" s="78">
        <f t="shared" si="11"/>
        <v>1.9744431758036542</v>
      </c>
      <c r="AD15" s="61" t="s">
        <v>43</v>
      </c>
      <c r="AE15" s="78">
        <f t="shared" si="11"/>
        <v>0.11772569668922298</v>
      </c>
      <c r="AF15" s="78">
        <f t="shared" si="11"/>
        <v>0.11510124199523841</v>
      </c>
      <c r="AG15" s="61" t="s">
        <v>43</v>
      </c>
      <c r="AH15" s="78">
        <f t="shared" si="11"/>
        <v>0.14272893501117812</v>
      </c>
      <c r="AI15" s="78">
        <f t="shared" si="11"/>
        <v>0.12069061805512402</v>
      </c>
    </row>
    <row r="16" spans="2:35" s="6" customFormat="1" ht="13.8" thickBot="1">
      <c r="B16" s="60" t="s">
        <v>64</v>
      </c>
      <c r="C16" s="61" t="s">
        <v>43</v>
      </c>
      <c r="D16" s="62">
        <f>(D12/D7)*365</f>
        <v>66.896496072310072</v>
      </c>
      <c r="E16" s="62">
        <f>(E12/E7)*365</f>
        <v>81.845379037297633</v>
      </c>
      <c r="F16" s="61" t="s">
        <v>43</v>
      </c>
      <c r="G16" s="62">
        <f>(G12/G7)*365</f>
        <v>164.80214216556993</v>
      </c>
      <c r="H16" s="62">
        <f>(H12/H7)*365</f>
        <v>91.75948627017884</v>
      </c>
      <c r="I16" s="61" t="s">
        <v>43</v>
      </c>
      <c r="J16" s="62">
        <f>(J12/J7)*365</f>
        <v>91.533029930106082</v>
      </c>
      <c r="K16" s="62">
        <f>(K12/K7)*365</f>
        <v>78.43310732762329</v>
      </c>
      <c r="L16" s="61" t="s">
        <v>43</v>
      </c>
      <c r="M16" s="62">
        <f t="shared" ref="M16:T16" si="12">(M12/M7)*365</f>
        <v>49.713688691910178</v>
      </c>
      <c r="N16" s="62">
        <f t="shared" si="12"/>
        <v>23.328595892151505</v>
      </c>
      <c r="O16" s="61" t="s">
        <v>43</v>
      </c>
      <c r="P16" s="62">
        <f t="shared" si="12"/>
        <v>92.369443339133838</v>
      </c>
      <c r="Q16" s="62">
        <f t="shared" si="12"/>
        <v>101.00370033678725</v>
      </c>
      <c r="R16" s="61" t="s">
        <v>43</v>
      </c>
      <c r="S16" s="62">
        <f t="shared" si="12"/>
        <v>76.406816977912285</v>
      </c>
      <c r="T16" s="62">
        <f t="shared" si="12"/>
        <v>66.561964599603954</v>
      </c>
      <c r="U16" s="61" t="s">
        <v>43</v>
      </c>
      <c r="V16" s="62">
        <f t="shared" ref="V16:W16" si="13">(V12/V7)*365</f>
        <v>73.686841890017462</v>
      </c>
      <c r="W16" s="62">
        <f t="shared" si="13"/>
        <v>46.061588537724766</v>
      </c>
      <c r="X16" s="61" t="s">
        <v>43</v>
      </c>
      <c r="Y16" s="62">
        <f>(Y12/Y7)*365</f>
        <v>58.624079600451147</v>
      </c>
      <c r="Z16" s="62">
        <f>(Z12/Z7)*365</f>
        <v>45.994798065993912</v>
      </c>
      <c r="AA16" s="61" t="s">
        <v>43</v>
      </c>
      <c r="AB16" s="80">
        <f t="shared" ref="AB16:AI16" si="14">(AB12/AB7)*365</f>
        <v>309.69841595995069</v>
      </c>
      <c r="AC16" s="80">
        <f t="shared" si="14"/>
        <v>720.67175916833378</v>
      </c>
      <c r="AD16" s="61" t="s">
        <v>43</v>
      </c>
      <c r="AE16" s="80">
        <f t="shared" si="14"/>
        <v>42.969879291566386</v>
      </c>
      <c r="AF16" s="80">
        <f t="shared" si="14"/>
        <v>42.011953328262024</v>
      </c>
      <c r="AG16" s="61" t="s">
        <v>43</v>
      </c>
      <c r="AH16" s="80">
        <f t="shared" si="14"/>
        <v>52.096061279080011</v>
      </c>
      <c r="AI16" s="80">
        <f t="shared" si="14"/>
        <v>44.052075590120268</v>
      </c>
    </row>
    <row r="17" spans="2:35" ht="14.7" customHeight="1" thickBot="1">
      <c r="B17" s="59" t="s">
        <v>65</v>
      </c>
      <c r="C17" s="149">
        <f>SUM(C12:E12)/SUM(C7:E7)*365</f>
        <v>74.786898427110245</v>
      </c>
      <c r="D17" s="150"/>
      <c r="E17" s="150"/>
      <c r="F17" s="149">
        <f>SUM(F12:H12)/SUM(F7:H7)*365</f>
        <v>133.78316404970244</v>
      </c>
      <c r="G17" s="150"/>
      <c r="H17" s="150"/>
      <c r="I17" s="149">
        <f>SUM(I12:K12)/SUM(I7:K7)*365</f>
        <v>84.547109862381049</v>
      </c>
      <c r="J17" s="150"/>
      <c r="K17" s="150"/>
      <c r="L17" s="149">
        <f>SUM(L12:N12)/SUM(L7:N7)*365</f>
        <v>32.717165562033365</v>
      </c>
      <c r="M17" s="150"/>
      <c r="N17" s="150"/>
      <c r="O17" s="149">
        <f>SUM(O12:Q12)/SUM(O7:Q7)*365</f>
        <v>96.171951437793865</v>
      </c>
      <c r="P17" s="150"/>
      <c r="Q17" s="150"/>
      <c r="R17" s="149">
        <f>SUM(R12:T12)/SUM(R7:T7)*365</f>
        <v>71.660841759579498</v>
      </c>
      <c r="S17" s="150"/>
      <c r="T17" s="150"/>
      <c r="U17" s="150"/>
      <c r="V17" s="150"/>
      <c r="W17" s="150"/>
      <c r="X17" s="149">
        <f>SUM(X12:Z12)/SUM(X7:Z7)*365</f>
        <v>51.59168647256358</v>
      </c>
      <c r="Y17" s="150"/>
      <c r="Z17" s="150"/>
      <c r="AA17" s="149">
        <f>SUM(AA12:AC12)/SUM(AA7:AC7)*365</f>
        <v>433.47151973557044</v>
      </c>
      <c r="AB17" s="150"/>
      <c r="AC17" s="150"/>
      <c r="AD17" s="149">
        <f>SUM(AD12:AF12)/SUM(AD7:AF7)*365</f>
        <v>42.55566278796536</v>
      </c>
      <c r="AE17" s="150"/>
      <c r="AF17" s="150"/>
      <c r="AG17" s="149">
        <f>SUM(AG12:AI12)/SUM(AG7:AI7)*365</f>
        <v>48.316490306100903</v>
      </c>
      <c r="AH17" s="150"/>
      <c r="AI17" s="150"/>
    </row>
    <row r="18" spans="2:35" s="10" customFormat="1" ht="13.8" thickBot="1">
      <c r="B18" s="68" t="s">
        <v>66</v>
      </c>
      <c r="C18" s="69">
        <f>AVERAGE(C17:AI17)</f>
        <v>106.96024904008007</v>
      </c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</row>
    <row r="19" spans="2:35" ht="13.8" thickBot="1">
      <c r="B19" s="59" t="s">
        <v>64</v>
      </c>
      <c r="C19" s="63"/>
      <c r="D19" s="63">
        <f>(D13/D9)*365</f>
        <v>66.896496072310072</v>
      </c>
      <c r="E19" s="63">
        <f>(E13/E9)*365</f>
        <v>81.845379037297633</v>
      </c>
      <c r="F19" s="63"/>
      <c r="G19" s="63">
        <f t="shared" ref="G19:H19" si="15">(G13/G9)*365</f>
        <v>164.80214216556993</v>
      </c>
      <c r="H19" s="63">
        <f t="shared" si="15"/>
        <v>91.75948627017884</v>
      </c>
      <c r="I19" s="63"/>
      <c r="J19" s="63">
        <f>(J13/J9)*365</f>
        <v>91.533029930106068</v>
      </c>
      <c r="K19" s="63">
        <f>(K13/K9)*365</f>
        <v>78.433107327623276</v>
      </c>
      <c r="L19" s="63"/>
      <c r="M19" s="63">
        <f>(M13/M9)*365</f>
        <v>49.713688691910193</v>
      </c>
      <c r="N19" s="63">
        <f>(N13/N9)*365</f>
        <v>23.328595892151505</v>
      </c>
      <c r="O19" s="63"/>
      <c r="P19" s="63">
        <f t="shared" ref="P19:T19" si="16">(P13/P9)*365</f>
        <v>92.369443339133852</v>
      </c>
      <c r="Q19" s="63">
        <f t="shared" si="16"/>
        <v>101.00370033678722</v>
      </c>
      <c r="R19" s="63"/>
      <c r="S19" s="63">
        <f t="shared" si="16"/>
        <v>76.4068169779123</v>
      </c>
      <c r="T19" s="63">
        <f t="shared" si="16"/>
        <v>66.56196459960394</v>
      </c>
      <c r="U19" s="63"/>
      <c r="V19" s="63">
        <f t="shared" ref="V19:W19" si="17">(V13/V9)*365</f>
        <v>73.686841890017462</v>
      </c>
      <c r="W19" s="63">
        <f t="shared" si="17"/>
        <v>46.061588537724766</v>
      </c>
      <c r="X19" s="63"/>
      <c r="Y19" s="63">
        <f>(Y13/Y9)*365</f>
        <v>58.624079600451147</v>
      </c>
      <c r="Z19" s="63">
        <f>(Z13/Z9)*365</f>
        <v>45.994798065993912</v>
      </c>
      <c r="AA19" s="63"/>
      <c r="AB19" s="79">
        <f t="shared" ref="AB19:AF19" si="18">(AB13/AB9)*365</f>
        <v>309.69841595995069</v>
      </c>
      <c r="AC19" s="79">
        <f t="shared" si="18"/>
        <v>720.67175916833389</v>
      </c>
      <c r="AD19" s="79"/>
      <c r="AE19" s="79">
        <f t="shared" si="18"/>
        <v>42.969879291566386</v>
      </c>
      <c r="AF19" s="79">
        <f t="shared" si="18"/>
        <v>42.011953328262017</v>
      </c>
      <c r="AG19" s="79"/>
      <c r="AH19" s="79">
        <f>(AH13/AH9)*365</f>
        <v>52.096061279080011</v>
      </c>
      <c r="AI19" s="79">
        <f>(AI13/AI9)*365</f>
        <v>44.052075590120268</v>
      </c>
    </row>
    <row r="20" spans="2:35" ht="14.7" customHeight="1" thickBot="1">
      <c r="B20" s="59" t="s">
        <v>65</v>
      </c>
      <c r="C20" s="149">
        <f>SUM(C13:E13)/SUM(C9:E9)*365</f>
        <v>74.847524832553745</v>
      </c>
      <c r="D20" s="150"/>
      <c r="E20" s="150"/>
      <c r="F20" s="149">
        <f>SUM(F13:H13)/SUM(F9:H9)*365</f>
        <v>134.01446988252178</v>
      </c>
      <c r="G20" s="150"/>
      <c r="H20" s="150"/>
      <c r="I20" s="149">
        <f>SUM(I13:K13)/SUM(I9:K9)*365</f>
        <v>84.474555980650194</v>
      </c>
      <c r="J20" s="150"/>
      <c r="K20" s="150"/>
      <c r="L20" s="149">
        <f>SUM(L13:N13)/SUM(L9:N9)*365</f>
        <v>32.168610818257612</v>
      </c>
      <c r="M20" s="150"/>
      <c r="N20" s="150"/>
      <c r="O20" s="149">
        <f>SUM(O13:Q13)/SUM(O9:Q9)*365</f>
        <v>96.158505460487845</v>
      </c>
      <c r="P20" s="150"/>
      <c r="Q20" s="150"/>
      <c r="R20" s="149">
        <f>SUM(R13:T13)/SUM(R9:T9)*365</f>
        <v>71.651711641494543</v>
      </c>
      <c r="S20" s="150"/>
      <c r="T20" s="150"/>
      <c r="U20" s="149">
        <f>SUM(U13:W13)/SUM(U9:W9)*365</f>
        <v>60.141858030370095</v>
      </c>
      <c r="V20" s="150"/>
      <c r="W20" s="150"/>
      <c r="X20" s="149">
        <f>SUM(X13:Z13)/SUM(X9:Z9)*365</f>
        <v>51.432113028790226</v>
      </c>
      <c r="Y20" s="150"/>
      <c r="Z20" s="150"/>
      <c r="AA20" s="149">
        <f>SUM(AA13:AC13)/SUM(AA9:AC9)*365</f>
        <v>433.212870705282</v>
      </c>
      <c r="AB20" s="150"/>
      <c r="AC20" s="150"/>
      <c r="AD20" s="149">
        <f>SUM(AD13:AF13)/SUM(AD9:AF9)*365</f>
        <v>42.555718693190784</v>
      </c>
      <c r="AE20" s="150"/>
      <c r="AF20" s="150"/>
      <c r="AG20" s="149">
        <f>SUM(AG13:AI13)/SUM(AG9:AI9)*365</f>
        <v>48.3316275740059</v>
      </c>
      <c r="AH20" s="150"/>
      <c r="AI20" s="150"/>
    </row>
    <row r="21" spans="2:35" s="10" customFormat="1" ht="13.8" thickBot="1">
      <c r="B21" s="68" t="s">
        <v>67</v>
      </c>
      <c r="C21" s="69">
        <f>AVERAGE(C20:AI20)</f>
        <v>102.63541514978225</v>
      </c>
      <c r="D21" s="69">
        <f>AVERAGE(C20:AI20)</f>
        <v>102.63541514978225</v>
      </c>
      <c r="E21" s="70"/>
      <c r="F21" s="70"/>
      <c r="G21" s="70"/>
      <c r="H21" s="70"/>
      <c r="I21" s="70"/>
      <c r="J21" s="69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69"/>
      <c r="AC21" s="69"/>
      <c r="AD21" s="69"/>
      <c r="AE21" s="69"/>
      <c r="AF21" s="69"/>
      <c r="AG21" s="69"/>
      <c r="AH21" s="69"/>
      <c r="AI21" s="69"/>
    </row>
    <row r="22" spans="2:35" ht="13.2"/>
    <row r="23" spans="2:35" ht="13.2">
      <c r="B23" s="1" t="s">
        <v>54</v>
      </c>
      <c r="C23" s="1"/>
      <c r="G23" s="7"/>
      <c r="H23" s="7"/>
      <c r="I23" s="7"/>
      <c r="J23" s="1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2:35" ht="13.2">
      <c r="B24" s="1"/>
      <c r="C24" s="1"/>
      <c r="J24" s="1"/>
    </row>
    <row r="25" spans="2:35" ht="13.2"/>
  </sheetData>
  <mergeCells count="39">
    <mergeCell ref="B3:B4"/>
    <mergeCell ref="S2:T2"/>
    <mergeCell ref="G2:H2"/>
    <mergeCell ref="V2:W2"/>
    <mergeCell ref="C20:E20"/>
    <mergeCell ref="R20:T20"/>
    <mergeCell ref="O20:Q20"/>
    <mergeCell ref="L20:N20"/>
    <mergeCell ref="I20:K20"/>
    <mergeCell ref="F20:H20"/>
    <mergeCell ref="C17:E17"/>
    <mergeCell ref="F17:H17"/>
    <mergeCell ref="I17:K17"/>
    <mergeCell ref="C3:E3"/>
    <mergeCell ref="F3:H3"/>
    <mergeCell ref="R17:T17"/>
    <mergeCell ref="Y2:Z2"/>
    <mergeCell ref="R3:T3"/>
    <mergeCell ref="U3:W3"/>
    <mergeCell ref="X3:Z3"/>
    <mergeCell ref="J2:K2"/>
    <mergeCell ref="I3:K3"/>
    <mergeCell ref="L3:N3"/>
    <mergeCell ref="O3:Q3"/>
    <mergeCell ref="U17:W17"/>
    <mergeCell ref="L17:N17"/>
    <mergeCell ref="O17:Q17"/>
    <mergeCell ref="AG20:AI20"/>
    <mergeCell ref="AD20:AF20"/>
    <mergeCell ref="AA20:AC20"/>
    <mergeCell ref="X20:Z20"/>
    <mergeCell ref="U20:W20"/>
    <mergeCell ref="AA3:AC3"/>
    <mergeCell ref="AD3:AF3"/>
    <mergeCell ref="AG3:AI3"/>
    <mergeCell ref="AG17:AI17"/>
    <mergeCell ref="X17:Z17"/>
    <mergeCell ref="AA17:AC17"/>
    <mergeCell ref="AD17:AF17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colBreaks count="1" manualBreakCount="1">
    <brk id="6139" max="2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97ED8A61A6C438B5A5E890C4BBC23" ma:contentTypeVersion="7" ma:contentTypeDescription="Create a new document." ma:contentTypeScope="" ma:versionID="ed1bf6cbf1daa12d70207778c975c917">
  <xsd:schema xmlns:xsd="http://www.w3.org/2001/XMLSchema" xmlns:xs="http://www.w3.org/2001/XMLSchema" xmlns:p="http://schemas.microsoft.com/office/2006/metadata/properties" xmlns:ns3="307f4eb6-6f20-4c5f-a28d-9eabfb9d381b" xmlns:ns4="51d32e31-913c-440b-8ad5-2e231a862ce1" targetNamespace="http://schemas.microsoft.com/office/2006/metadata/properties" ma:root="true" ma:fieldsID="a90ec370ed6473040ce5d2ae7ca1d032" ns3:_="" ns4:_="">
    <xsd:import namespace="307f4eb6-6f20-4c5f-a28d-9eabfb9d381b"/>
    <xsd:import namespace="51d32e31-913c-440b-8ad5-2e231a862ce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f4eb6-6f20-4c5f-a28d-9eabfb9d38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32e31-913c-440b-8ad5-2e231a862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505064-EE3C-44B8-9007-8BCAAFAA55C2}">
  <ds:schemaRefs>
    <ds:schemaRef ds:uri="51d32e31-913c-440b-8ad5-2e231a862ce1"/>
    <ds:schemaRef ds:uri="http://schemas.microsoft.com/office/2006/metadata/properties"/>
    <ds:schemaRef ds:uri="307f4eb6-6f20-4c5f-a28d-9eabfb9d381b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25FA711-97F8-4F22-9A47-F375DC4DA3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EBDA22-94A0-4325-AA9C-FA6CD027EF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f4eb6-6f20-4c5f-a28d-9eabfb9d381b"/>
    <ds:schemaRef ds:uri="51d32e31-913c-440b-8ad5-2e231a862c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 of Margins</vt:lpstr>
      <vt:lpstr>Gross Margins</vt:lpstr>
      <vt:lpstr>Payable Computation</vt:lpstr>
      <vt:lpstr>Avg Payable days</vt:lpstr>
      <vt:lpstr>'Avg Payable days'!Print_Area</vt:lpstr>
      <vt:lpstr>'Payable Computation'!Print_Area</vt:lpstr>
      <vt:lpstr>'Avg Payable days'!Print_Titles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Diksha Dhiman</dc:creator>
  <cp:keywords/>
  <dc:description/>
  <cp:lastModifiedBy>Apurv Sharma</cp:lastModifiedBy>
  <cp:revision/>
  <dcterms:created xsi:type="dcterms:W3CDTF">2019-07-19T07:33:52Z</dcterms:created>
  <dcterms:modified xsi:type="dcterms:W3CDTF">2026-08-21T09:48:39Z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0x0101004FD97ED8A61A6C438B5A5E890C4BBC23</vt:lpwstr>
  </property>
  <property fmtid="{D5CDD505-2E9C-101B-9397-08002B2CF9AE}" pid="3" name="FileName">
    <vt:lpwstr/>
  </property>
</Properties>
</file>